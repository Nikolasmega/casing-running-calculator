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Well Profile" sheetId="2" state="visible" r:id="rId2"/>
    <sheet name="Calculations" sheetId="3" state="visible" r:id="rId3"/>
    <sheet name="Char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7">
    <font>
      <name val="Calibri"/>
      <family val="2"/>
      <color theme="1"/>
      <sz val="11"/>
      <scheme val="minor"/>
    </font>
    <font>
      <name val="Noto Sans CJK SC"/>
      <color rgb="FF1B2A4A"/>
      <sz val="16"/>
    </font>
    <font>
      <name val="Noto Sans CJK SC"/>
      <i val="1"/>
      <color rgb="FF8C8A84"/>
      <sz val="10"/>
    </font>
    <font>
      <name val="Noto Sans CJK SC"/>
      <color rgb="FFFFFFFF"/>
      <sz val="11"/>
    </font>
    <font>
      <name val="Noto Sans CJK SC"/>
      <b val="1"/>
      <color rgb="FFFFFFFF"/>
      <sz val="11"/>
    </font>
    <font>
      <name val="Noto Sans CJK SC"/>
      <color rgb="FF1B2A4A"/>
      <sz val="12"/>
    </font>
    <font>
      <name val="Noto Sans CJK SC"/>
      <sz val="11"/>
    </font>
    <font>
      <name val="Noto Sans CJK SC"/>
      <color rgb="FF37352F"/>
      <sz val="11"/>
    </font>
    <font>
      <name val="Noto Sans CJK SC"/>
      <color rgb="FF0000CC"/>
      <sz val="11"/>
    </font>
    <font>
      <name val="Noto Sans CJK SC"/>
      <color rgb="FF8C8A84"/>
      <sz val="9"/>
    </font>
    <font>
      <name val="Arial"/>
      <b val="1"/>
      <color rgb="FF1F497D"/>
      <sz val="16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Calibri"/>
      <color theme="1"/>
      <sz val="11"/>
    </font>
    <font>
      <name val="Arial"/>
      <i val="1"/>
      <sz val="10"/>
    </font>
  </fonts>
  <fills count="14">
    <fill>
      <patternFill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1F497D"/>
        <bgColor rgb="FF1F497D"/>
      </patternFill>
    </fill>
    <fill>
      <patternFill patternType="solid">
        <fgColor rgb="FFD6E4F0"/>
        <bgColor rgb="FFE9E9E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F8DC"/>
        <bgColor rgb="FFFEF9E7"/>
      </patternFill>
    </fill>
    <fill>
      <patternFill patternType="solid">
        <fgColor rgb="FFFAFAF9"/>
        <bgColor rgb="FFF7F7F5"/>
      </patternFill>
    </fill>
    <fill>
      <patternFill patternType="solid">
        <fgColor rgb="FFFFFFFF"/>
        <bgColor rgb="FFFAFAF9"/>
      </patternFill>
    </fill>
    <fill>
      <patternFill patternType="solid">
        <fgColor rgb="FFF7F7F5"/>
        <bgColor rgb="FFFAFAF9"/>
      </patternFill>
    </fill>
    <fill>
      <patternFill patternType="solid">
        <fgColor rgb="FF244061"/>
        <bgColor rgb="FF24406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E9E9E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right" vertical="center"/>
    </xf>
    <xf numFmtId="2" fontId="7" fillId="9" borderId="1" applyAlignment="1" pivotButton="0" quotePrefix="0" xfId="0">
      <alignment horizontal="right" vertical="center"/>
    </xf>
    <xf numFmtId="4" fontId="7" fillId="9" borderId="1" applyAlignment="1" pivotButton="0" quotePrefix="0" xfId="0">
      <alignment horizontal="right" vertical="center"/>
    </xf>
    <xf numFmtId="0" fontId="6" fillId="0" borderId="3" applyAlignment="1" pivotButton="0" quotePrefix="0" xfId="0">
      <alignment horizontal="center" vertical="center"/>
    </xf>
    <xf numFmtId="4" fontId="6" fillId="12" borderId="3" applyAlignment="1" pivotButton="0" quotePrefix="0" xfId="0">
      <alignment horizontal="center" vertical="center"/>
    </xf>
    <xf numFmtId="165" fontId="6" fillId="5" borderId="3" applyAlignment="1" pivotButton="0" quotePrefix="0" xfId="0">
      <alignment horizontal="center" vertical="center"/>
    </xf>
    <xf numFmtId="2" fontId="6" fillId="13" borderId="3" applyAlignment="1" pivotButton="0" quotePrefix="0" xfId="0">
      <alignment horizontal="center" vertical="center"/>
    </xf>
    <xf numFmtId="165" fontId="7" fillId="10" borderId="1" applyAlignment="1" pivotButton="0" quotePrefix="0" xfId="0">
      <alignment horizontal="right" vertical="center"/>
    </xf>
    <xf numFmtId="2" fontId="7" fillId="10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2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13" fillId="0" borderId="3" pivotButton="0" quotePrefix="0" xfId="0"/>
    <xf numFmtId="165" fontId="14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2" fontId="14" fillId="0" borderId="3" applyAlignment="1" pivotButton="0" quotePrefix="0" xfId="0">
      <alignment horizontal="center"/>
    </xf>
    <xf numFmtId="3" fontId="14" fillId="0" borderId="3" applyAlignment="1" pivotButton="0" quotePrefix="0" xfId="0">
      <alignment horizontal="center"/>
    </xf>
    <xf numFmtId="164" fontId="14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3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6" fillId="0" borderId="3" applyAlignment="1" pivotButton="0" quotePrefix="0" xfId="0">
      <alignment horizontal="left" vertical="center" wrapText="1"/>
    </xf>
    <xf numFmtId="0" fontId="15" fillId="0" borderId="3" pivotButton="0" quotePrefix="0" xfId="0"/>
  </cellXfs>
  <cellStyles count="1">
    <cellStyle name="Normal" xfId="0" builtinId="0" hidden="0"/>
  </cellStyles>
  <dxfs count="7">
    <dxf>
      <font>
        <b val="1"/>
        <color rgb="FFC0392B"/>
      </font>
      <fill>
        <patternFill>
          <bgColor rgb="FFFDEDEC"/>
        </patternFill>
      </fill>
    </dxf>
    <dxf>
      <font>
        <color rgb="FFD4820A"/>
      </font>
      <fill>
        <patternFill>
          <bgColor rgb="FFFEF9E7"/>
        </patternFill>
      </fill>
    </dxf>
    <dxf>
      <font>
        <b val="1"/>
        <color rgb="FFD4820A"/>
      </font>
      <fill>
        <patternFill>
          <bgColor rgb="FFFEF9E7"/>
        </patternFill>
      </fill>
    </dxf>
    <dxf>
      <font>
        <color rgb="FF1B7D46"/>
      </font>
      <fill>
        <patternFill>
          <bgColor rgb="FFE8F5E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2" customWidth="1" min="4" max="4"/>
    <col width="48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/>
    <row r="2" ht="31.5" customHeight="1">
      <c r="B2" s="1" t="inlineStr">
        <is>
          <t>CASING RUNNING CALCULATOR — INPUT DATA</t>
        </is>
      </c>
    </row>
    <row r="3" ht="18" customHeight="1">
      <c r="B3" s="2" t="inlineStr">
        <is>
          <t>Yellow cells are for data input. Others are calculated automatically.</t>
        </is>
      </c>
    </row>
    <row r="4" ht="27.75" customHeight="1">
      <c r="B4" s="3" t="inlineStr">
        <is>
          <t>Parameter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Note</t>
        </is>
      </c>
      <c r="G4" s="4" t="inlineStr">
        <is>
          <t>Section No.</t>
        </is>
      </c>
      <c r="H4" s="4" t="inlineStr">
        <is>
          <t>Top MD, m</t>
        </is>
      </c>
      <c r="I4" s="4" t="inlineStr">
        <is>
          <t>Bottom MD, m</t>
        </is>
      </c>
      <c r="J4" s="4" t="inlineStr">
        <is>
          <t>OD, mm</t>
        </is>
      </c>
      <c r="K4" s="4" t="inlineStr">
        <is>
          <t>ID, mm</t>
        </is>
      </c>
      <c r="L4" s="4" t="inlineStr">
        <is>
          <t>Steel</t>
        </is>
      </c>
      <c r="M4" s="4" t="inlineStr">
        <is>
          <t>Yp, MPa</t>
        </is>
      </c>
      <c r="N4" s="4" t="inlineStr">
        <is>
          <t>Weight, kg/m</t>
        </is>
      </c>
    </row>
    <row r="5" ht="24" customHeight="1">
      <c r="B5" s="5" t="inlineStr">
        <is>
          <t>1. Well and Casing String</t>
        </is>
      </c>
      <c r="G5" s="6" t="n">
        <v>1</v>
      </c>
      <c r="H5" s="7" t="n">
        <v>0</v>
      </c>
      <c r="I5" s="7">
        <f>'Input Data'!$C$11</f>
        <v/>
      </c>
      <c r="J5" s="7">
        <f>'Input Data'!$C$7</f>
        <v/>
      </c>
      <c r="K5" s="7">
        <f>'Input Data'!$C$8</f>
        <v/>
      </c>
      <c r="L5" s="7">
        <f>'Input Data'!$C$12</f>
        <v/>
      </c>
      <c r="M5" s="7">
        <f>'Input Data'!$C$13</f>
        <v/>
      </c>
      <c r="N5" s="7">
        <f>'Input Data'!$C$10</f>
        <v/>
      </c>
    </row>
    <row r="6" ht="19.5" customHeight="1">
      <c r="B6" s="8" t="inlineStr">
        <is>
          <t>Well Depth (TD)</t>
        </is>
      </c>
      <c r="C6" s="9" t="n">
        <v>3800</v>
      </c>
      <c r="D6" s="10" t="inlineStr">
        <is>
          <t>m</t>
        </is>
      </c>
      <c r="E6" s="11" t="inlineStr">
        <is>
          <t>Planned Total Depth</t>
        </is>
      </c>
      <c r="G6" s="6" t="n">
        <v>2</v>
      </c>
      <c r="H6" s="7" t="n">
        <v>99999</v>
      </c>
      <c r="I6" s="7" t="n">
        <v>99999</v>
      </c>
      <c r="J6" s="7" t="n"/>
      <c r="K6" s="7" t="n"/>
      <c r="L6" s="7" t="n"/>
      <c r="M6" s="7" t="n"/>
      <c r="N6" s="7" t="n"/>
    </row>
    <row r="7" ht="19.5" customHeight="1">
      <c r="B7" s="8" t="inlineStr">
        <is>
          <t>Casing Outer Diameter (OD)</t>
        </is>
      </c>
      <c r="C7" s="9" t="n">
        <v>244.5</v>
      </c>
      <c r="D7" s="10" t="inlineStr">
        <is>
          <t>mm</t>
        </is>
      </c>
      <c r="E7" s="11" t="inlineStr">
        <is>
          <t>e.g. 9-5/8" = 244.5 mm</t>
        </is>
      </c>
      <c r="G7" s="6" t="n">
        <v>3</v>
      </c>
      <c r="H7" s="7" t="n">
        <v>99999</v>
      </c>
      <c r="I7" s="7" t="n">
        <v>99999</v>
      </c>
      <c r="J7" s="7" t="n"/>
      <c r="K7" s="7" t="n"/>
      <c r="L7" s="7" t="n"/>
      <c r="M7" s="7" t="n"/>
      <c r="N7" s="7" t="n"/>
    </row>
    <row r="8" ht="19.5" customHeight="1">
      <c r="B8" s="8" t="inlineStr">
        <is>
          <t>Casing Inner Diameter (ID)</t>
        </is>
      </c>
      <c r="C8" s="9" t="n">
        <v>220.5</v>
      </c>
      <c r="D8" s="10" t="inlineStr">
        <is>
          <t>mm</t>
        </is>
      </c>
      <c r="E8" s="11" t="inlineStr">
        <is>
          <t>Based on wall thickness</t>
        </is>
      </c>
    </row>
    <row r="9" ht="19.5" customHeight="1">
      <c r="B9" s="8" t="inlineStr">
        <is>
          <t>Wall thickness</t>
        </is>
      </c>
      <c r="C9" s="12">
        <f>($C$7-$C$8)/2</f>
        <v/>
      </c>
      <c r="D9" s="10" t="inlineStr">
        <is>
          <t>mm</t>
        </is>
      </c>
      <c r="E9" s="11" t="inlineStr">
        <is>
          <t>Calculated</t>
        </is>
      </c>
    </row>
    <row r="10" ht="19.5" customHeight="1">
      <c r="B10" s="8" t="inlineStr">
        <is>
          <t>Weight per meter</t>
        </is>
      </c>
      <c r="C10" s="9" t="n">
        <v>69.94</v>
      </c>
      <c r="D10" s="10" t="inlineStr">
        <is>
          <t>kg/m</t>
        </is>
      </c>
      <c r="E10" s="11" t="inlineStr">
        <is>
          <t>Reference value</t>
        </is>
      </c>
    </row>
    <row r="11" ht="19.5" customHeight="1">
      <c r="B11" s="8" t="inlineStr">
        <is>
          <t>Casing shoe depth</t>
        </is>
      </c>
      <c r="C11" s="9" t="n">
        <v>3450</v>
      </c>
      <c r="D11" s="10" t="inlineStr">
        <is>
          <t>m</t>
        </is>
      </c>
      <c r="E11" s="11" t="inlineStr">
        <is>
          <t>Usually ≤ TD</t>
        </is>
      </c>
    </row>
    <row r="12" ht="19.5" customHeight="1">
      <c r="B12" s="8" t="inlineStr">
        <is>
          <t>Steel Grade</t>
        </is>
      </c>
      <c r="C12" s="9" t="inlineStr">
        <is>
          <t>P110</t>
        </is>
      </c>
      <c r="D12" s="10" t="inlineStr">
        <is>
          <t>—</t>
        </is>
      </c>
      <c r="E12" s="11" t="inlineStr">
        <is>
          <t>J55/K55/N80/L80/P110 и т.д.</t>
        </is>
      </c>
    </row>
    <row r="13" ht="19.5" customHeight="1">
      <c r="B13" s="8" t="inlineStr">
        <is>
          <t>Steel Yield Strength</t>
        </is>
      </c>
      <c r="C13" s="9" t="n">
        <v>758</v>
      </c>
      <c r="D13" s="10" t="inlineStr">
        <is>
          <t>MPa</t>
        </is>
      </c>
      <c r="E13" s="11" t="inlineStr">
        <is>
          <t>For P110 ≈ 758 MPa</t>
        </is>
      </c>
    </row>
    <row r="14" ht="19.5" customHeight="1">
      <c r="B14" s="8" t="inlineStr">
        <is>
          <t>Steel Young's Modulus (E)</t>
        </is>
      </c>
      <c r="C14" s="9" t="n">
        <v>210</v>
      </c>
      <c r="D14" s="10" t="inlineStr">
        <is>
          <t>ГПа</t>
        </is>
      </c>
      <c r="E14" s="11" t="inlineStr">
        <is>
          <t>Steel ≈ 210 GPa</t>
        </is>
      </c>
    </row>
    <row r="15" ht="19.5" customHeight="1">
      <c r="B15" s="8" t="inlineStr">
        <is>
          <t>Steel density</t>
        </is>
      </c>
      <c r="C15" s="9" t="n">
        <v>7850</v>
      </c>
      <c r="D15" s="10" t="inlineStr">
        <is>
          <t>kg/m³</t>
        </is>
      </c>
      <c r="E15" s="11" t="inlineStr">
        <is>
          <t>Reference</t>
        </is>
      </c>
    </row>
    <row r="16" ht="19.5" customHeight="1">
      <c r="B16" s="8" t="inlineStr">
        <is>
          <t>Pipe cross-sectional area</t>
        </is>
      </c>
      <c r="C16" s="12">
        <f>PI()*($C$7^2-$C$8^2)/4</f>
        <v/>
      </c>
      <c r="D16" s="10" t="inlineStr">
        <is>
          <t>мм²</t>
        </is>
      </c>
      <c r="E16" s="11" t="inlineStr">
        <is>
          <t>Calculated</t>
        </is>
      </c>
    </row>
    <row r="17" ht="6" customHeight="1"/>
    <row r="18" ht="24" customHeight="1">
      <c r="B18" s="5" t="inlineStr">
        <is>
          <t>2. Wellbore</t>
        </is>
      </c>
    </row>
    <row r="19" ht="19.5" customHeight="1">
      <c r="B19" s="8" t="inlineStr">
        <is>
          <t>Open hole diameter</t>
        </is>
      </c>
      <c r="C19" s="9" t="n">
        <v>311.2</v>
      </c>
      <c r="D19" s="10" t="inlineStr">
        <is>
          <t>mm</t>
        </is>
      </c>
      <c r="E19" s="11" t="inlineStr">
        <is>
          <t>e.g. 12-1/4" = 311.2 mm</t>
        </is>
      </c>
    </row>
    <row r="20" ht="19.5" customHeight="1">
      <c r="B20" s="8" t="inlineStr">
        <is>
          <t>Previous casing ID</t>
        </is>
      </c>
      <c r="C20" s="9" t="n">
        <v>317.9</v>
      </c>
      <c r="D20" s="10" t="inlineStr">
        <is>
          <t>mm</t>
        </is>
      </c>
      <c r="E20" s="11" t="inlineStr">
        <is>
          <t>e.g. 13-3/8" = 339.7 mm OD, ID ≈ 317.9</t>
        </is>
      </c>
    </row>
    <row r="21" ht="19.5" customHeight="1">
      <c r="B21" s="8" t="inlineStr">
        <is>
          <t>Previous casing shoe depth</t>
        </is>
      </c>
      <c r="C21" s="9" t="n">
        <v>1800</v>
      </c>
      <c r="D21" s="10" t="inlineStr">
        <is>
          <t>m</t>
        </is>
      </c>
      <c r="E21" s="11" t="inlineStr">
        <is>
          <t>Cased/open hole boundary</t>
        </is>
      </c>
    </row>
    <row r="22" ht="6" customHeight="1"/>
    <row r="23" ht="24" customHeight="1">
      <c r="B23" s="5" t="inlineStr">
        <is>
          <t>3. Well Profile (Survey)</t>
        </is>
      </c>
    </row>
    <row r="24" ht="19.5" customHeight="1">
      <c r="B24" s="8" t="inlineStr">
        <is>
          <t>Kick-off Point (KOP)</t>
        </is>
      </c>
      <c r="C24" s="9" t="n">
        <v>600</v>
      </c>
      <c r="D24" s="10" t="inlineStr">
        <is>
          <t>m</t>
        </is>
      </c>
      <c r="E24" s="11" t="inlineStr">
        <is>
          <t>Inclination build start depth</t>
        </is>
      </c>
    </row>
    <row r="25" ht="19.5" customHeight="1">
      <c r="B25" s="8" t="inlineStr">
        <is>
          <t>Dogleg Severity (DLS)</t>
        </is>
      </c>
      <c r="C25" s="9" t="n">
        <v>3</v>
      </c>
      <c r="D25" s="10" t="inlineStr">
        <is>
          <t>deg/30m</t>
        </is>
      </c>
      <c r="E25" s="11" t="inlineStr">
        <is>
          <t>Typical 2-4 deg/30m</t>
        </is>
      </c>
    </row>
    <row r="26" ht="19.5" customHeight="1">
      <c r="B26" s="8" t="inlineStr">
        <is>
          <t>Max inclination angle at TD</t>
        </is>
      </c>
      <c r="C26" s="9" t="n">
        <v>45</v>
      </c>
      <c r="D26" s="10" t="inlineStr">
        <is>
          <t>deg</t>
        </is>
      </c>
      <c r="E26" s="11" t="inlineStr">
        <is>
          <t>Max deviation from vertical</t>
        </is>
      </c>
    </row>
    <row r="27" ht="19.5" customHeight="1">
      <c r="B27" s="8" t="inlineStr">
        <is>
          <t>Azimuth</t>
        </is>
      </c>
      <c r="C27" s="9" t="n">
        <v>90</v>
      </c>
      <c r="D27" s="10" t="inlineStr">
        <is>
          <t>deg</t>
        </is>
      </c>
      <c r="E27" s="11" t="inlineStr">
        <is>
          <t>See "Well Profile" sheet</t>
        </is>
      </c>
    </row>
    <row r="28" ht="6" customHeight="1"/>
    <row r="29" ht="24" customHeight="1">
      <c r="B29" s="5" t="inlineStr">
        <is>
          <t>4. Drilling Fluid</t>
        </is>
      </c>
    </row>
    <row r="30" ht="19.5" customHeight="1">
      <c r="B30" s="8" t="inlineStr">
        <is>
          <t>Drilling fluid density</t>
        </is>
      </c>
      <c r="C30" s="9" t="n">
        <v>1350</v>
      </c>
      <c r="D30" s="10" t="inlineStr">
        <is>
          <t>kg/m³</t>
        </is>
      </c>
      <c r="E30" s="11" t="inlineStr">
        <is>
          <t>1.35 г/см³</t>
        </is>
      </c>
    </row>
    <row r="31" ht="19.5" customHeight="1">
      <c r="B31" s="8" t="inlineStr">
        <is>
          <t>Plastic Viscosity (PV)</t>
        </is>
      </c>
      <c r="C31" s="9" t="n">
        <v>25</v>
      </c>
      <c r="D31" s="10" t="inlineStr">
        <is>
          <t>cP</t>
        </is>
      </c>
      <c r="E31" s="11" t="inlineStr">
        <is>
          <t>Plastic viscosity</t>
        </is>
      </c>
    </row>
    <row r="32" ht="19.5" customHeight="1">
      <c r="B32" s="8" t="inlineStr">
        <is>
          <t>Yield Point (YP)</t>
        </is>
      </c>
      <c r="C32" s="9" t="n">
        <v>15</v>
      </c>
      <c r="D32" s="10" t="inlineStr">
        <is>
          <t>Pa</t>
        </is>
      </c>
      <c r="E32" s="11" t="inlineStr">
        <is>
          <t>Yield Point</t>
        </is>
      </c>
    </row>
    <row r="33" ht="19.5" customHeight="1">
      <c r="B33" s="8" t="inlineStr">
        <is>
          <t>Mud surface temperature</t>
        </is>
      </c>
      <c r="C33" s="9" t="n">
        <v>20</v>
      </c>
      <c r="D33" s="10" t="inlineStr">
        <is>
          <t>°C</t>
        </is>
      </c>
      <c r="E33" s="11" t="inlineStr">
        <is>
          <t>Initial temperature</t>
        </is>
      </c>
    </row>
    <row r="34" ht="19.5" customHeight="1">
      <c r="B34" s="8" t="inlineStr">
        <is>
          <t>Geothermal gradient</t>
        </is>
      </c>
      <c r="C34" s="9" t="n">
        <v>3</v>
      </c>
      <c r="D34" s="10" t="inlineStr">
        <is>
          <t>°C/100m</t>
        </is>
      </c>
      <c r="E34" s="11" t="inlineStr">
        <is>
          <t>Typical 2.5-3.5</t>
        </is>
      </c>
    </row>
    <row r="35" ht="19.5" customHeight="1">
      <c r="B35" s="8" t="inlineStr">
        <is>
          <t>Bottomhole mud temperature</t>
        </is>
      </c>
      <c r="C35" s="12">
        <f>$C$33+$C$34*'Well Profile'!$D$15/100</f>
        <v/>
      </c>
      <c r="D35" s="10" t="inlineStr">
        <is>
          <t>°C</t>
        </is>
      </c>
      <c r="E35" s="11" t="inlineStr">
        <is>
          <t>Расчёт</t>
        </is>
      </c>
    </row>
    <row r="36" ht="6" customHeight="1"/>
    <row r="37" ht="24" customHeight="1">
      <c r="B37" s="5" t="inlineStr">
        <is>
          <t>5. Friction Coefficients (CoF)</t>
        </is>
      </c>
    </row>
    <row r="38" ht="19.5" customHeight="1">
      <c r="B38" s="8" t="inlineStr">
        <is>
          <t>Cased hole friction coefficient (μ_c)</t>
        </is>
      </c>
      <c r="C38" s="9" t="n">
        <v>0.25</v>
      </c>
      <c r="D38" s="10" t="inlineStr">
        <is>
          <t>—</t>
        </is>
      </c>
      <c r="E38" s="11" t="inlineStr">
        <is>
          <t>Typical 0.20-0.30</t>
        </is>
      </c>
    </row>
    <row r="39" ht="19.5" customHeight="1">
      <c r="B39" s="8" t="inlineStr">
        <is>
          <t>Open hole friction coefficient (μ_o)</t>
        </is>
      </c>
      <c r="C39" s="9" t="n">
        <v>0.35</v>
      </c>
      <c r="D39" s="10" t="inlineStr">
        <is>
          <t>—</t>
        </is>
      </c>
      <c r="E39" s="11" t="inlineStr">
        <is>
          <t>Typical 0.30-0.45</t>
        </is>
      </c>
    </row>
    <row r="40" ht="6" customHeight="1"/>
    <row r="41" ht="24" customHeight="1">
      <c r="B41" s="5" t="inlineStr">
        <is>
          <t>6. Equipment and Limits</t>
        </is>
      </c>
    </row>
    <row r="42" ht="19.5" customHeight="1">
      <c r="B42" s="8" t="inlineStr">
        <is>
          <t>Rig capacity</t>
        </is>
      </c>
      <c r="C42" s="9" t="n">
        <v>250</v>
      </c>
      <c r="D42" s="10" t="inlineStr">
        <is>
          <t>t</t>
        </is>
      </c>
      <c r="E42" s="11" t="inlineStr">
        <is>
          <t>Max hook load</t>
        </is>
      </c>
    </row>
    <row r="43" ht="19.5" customHeight="1">
      <c r="B43" s="8" t="inlineStr">
        <is>
          <t>Block and tackle weight</t>
        </is>
      </c>
      <c r="C43" s="9" t="n">
        <v>15</v>
      </c>
      <c r="D43" s="10" t="inlineStr">
        <is>
          <t>t</t>
        </is>
      </c>
      <c r="E43" s="11" t="inlineStr">
        <is>
          <t>Hook block + lines weight</t>
        </is>
      </c>
    </row>
    <row r="44" ht="19.5" customHeight="1">
      <c r="B44" s="8" t="inlineStr">
        <is>
          <t>Maximum allowed overpull</t>
        </is>
      </c>
      <c r="C44" s="9" t="n">
        <v>200</v>
      </c>
      <c r="D44" s="10" t="inlineStr">
        <is>
          <t>t</t>
        </is>
      </c>
      <c r="E44" s="11" t="inlineStr">
        <is>
          <t>Tension limit</t>
        </is>
      </c>
    </row>
    <row r="45" ht="19.5" customHeight="1">
      <c r="B45" s="8" t="inlineStr">
        <is>
          <t>Maximum allowed slack-off</t>
        </is>
      </c>
      <c r="C45" s="9" t="n">
        <v>180</v>
      </c>
      <c r="D45" s="10" t="inlineStr">
        <is>
          <t>t</t>
        </is>
      </c>
      <c r="E45" s="11" t="inlineStr">
        <is>
          <t>Compression limit (slack-off)</t>
        </is>
      </c>
    </row>
    <row r="46" ht="19.5" customHeight="1">
      <c r="B46" s="8" t="inlineStr">
        <is>
          <t>Safety factor</t>
        </is>
      </c>
      <c r="C46" s="9" t="n">
        <v>1.3</v>
      </c>
      <c r="D46" s="10" t="inlineStr">
        <is>
          <t>—</t>
        </is>
      </c>
      <c r="E46" s="11" t="inlineStr">
        <is>
          <t>For load</t>
        </is>
      </c>
    </row>
    <row r="47" ht="19.5" customHeight="1">
      <c r="B47" s="8" t="inlineStr">
        <is>
          <t>Casing running speed</t>
        </is>
      </c>
      <c r="C47" s="9" t="n">
        <v>0.5</v>
      </c>
      <c r="D47" s="10" t="inlineStr">
        <is>
          <t>м/с</t>
        </is>
      </c>
      <c r="E47" s="11" t="inlineStr">
        <is>
          <t>For hydraulics calculations</t>
        </is>
      </c>
    </row>
    <row r="48" ht="6" customHeight="1"/>
    <row r="49" ht="24" customHeight="1">
      <c r="B49" s="5" t="inlineStr">
        <is>
          <t>7. Calculated Coefficients (Automatic)</t>
        </is>
      </c>
    </row>
    <row r="50" ht="19.5" customHeight="1">
      <c r="B50" s="8" t="inlineStr">
        <is>
          <t>Buoyancy Factor (BF)</t>
        </is>
      </c>
      <c r="C50" s="12">
        <f>1-$C$30/$C$15</f>
        <v/>
      </c>
      <c r="D50" s="10" t="inlineStr">
        <is>
          <t>—</t>
        </is>
      </c>
      <c r="E50" s="11" t="inlineStr">
        <is>
          <t>BF = 1 − ρ_mud/ρ_steel</t>
        </is>
      </c>
    </row>
    <row r="51" ht="19.5" customHeight="1">
      <c r="B51" s="8" t="inlineStr">
        <is>
          <t>Buoyant weight per meter</t>
        </is>
      </c>
      <c r="C51" s="12">
        <f>$C$10*$C$50/1000</f>
        <v/>
      </c>
      <c r="D51" s="10" t="inlineStr">
        <is>
          <t>т/м</t>
        </is>
      </c>
      <c r="E51" s="11" t="inlineStr">
        <is>
          <t>Weight adjusted for buoyancy</t>
        </is>
      </c>
    </row>
    <row r="52" ht="19.5" customHeight="1">
      <c r="B52" s="8" t="inlineStr">
        <is>
          <t>Young's Modulus E in SI</t>
        </is>
      </c>
      <c r="C52" s="12">
        <f>$C$14*1000000000</f>
        <v/>
      </c>
      <c r="D52" s="10" t="inlineStr">
        <is>
          <t>Pa</t>
        </is>
      </c>
      <c r="E52" s="11" t="inlineStr">
        <is>
          <t>E in Pascals</t>
        </is>
      </c>
    </row>
    <row r="53" ht="19.5" customHeight="1">
      <c r="B53" s="8" t="inlineStr">
        <is>
          <t>Moment of Inertia I (SI)</t>
        </is>
      </c>
      <c r="C53" s="12">
        <f>PI()/64*(($C$7/1000)^4-($C$8/1000)^4)</f>
        <v/>
      </c>
      <c r="D53" s="10" t="inlineStr">
        <is>
          <t>м⁴</t>
        </is>
      </c>
      <c r="E53" s="11" t="inlineStr">
        <is>
          <t>I = π/64·(OD⁴−ID⁴)</t>
        </is>
      </c>
    </row>
    <row r="54" ht="19.5" customHeight="1">
      <c r="B54" s="8" t="inlineStr">
        <is>
          <t>Buoyant weight per meter in SI</t>
        </is>
      </c>
      <c r="C54" s="12">
        <f>$C$10*$C$50*9.81</f>
        <v/>
      </c>
      <c r="D54" s="10" t="inlineStr">
        <is>
          <t>Н/м</t>
        </is>
      </c>
      <c r="E54" s="11" t="inlineStr">
        <is>
          <t>w_b = m·g·BF</t>
        </is>
      </c>
    </row>
    <row r="55" ht="19.5" customHeight="1">
      <c r="B55" s="8" t="inlineStr">
        <is>
          <t>Radial clearance r (open hole)</t>
        </is>
      </c>
      <c r="C55" s="12">
        <f>($C$19-$C$7)/2000</f>
        <v/>
      </c>
      <c r="D55" s="10" t="inlineStr">
        <is>
          <t>m</t>
        </is>
      </c>
      <c r="E55" s="11" t="inlineStr">
        <is>
          <t>r = (D_hole − OD_pipe)/2</t>
        </is>
      </c>
    </row>
    <row r="56" ht="19.5" customHeight="1">
      <c r="B56" s="8" t="inlineStr">
        <is>
          <t>Radial clearance r (cased hole)</t>
        </is>
      </c>
      <c r="C56" s="12">
        <f>($C$20-$C$7)/2000</f>
        <v/>
      </c>
      <c r="D56" s="10" t="inlineStr">
        <is>
          <t>m</t>
        </is>
      </c>
      <c r="E56" s="11" t="inlineStr">
        <is>
          <t>r = (ID_prev − OD_pipe)/2</t>
        </is>
      </c>
    </row>
    <row r="57" ht="19.5" customHeight="1">
      <c r="B57" s="8" t="inlineStr">
        <is>
          <t>Gravity acceleration g</t>
        </is>
      </c>
      <c r="C57" s="9" t="n">
        <v>9.81</v>
      </c>
      <c r="D57" s="10" t="inlineStr">
        <is>
          <t>м/с²</t>
        </is>
      </c>
      <c r="E57" s="11" t="inlineStr">
        <is>
          <t>Constant</t>
        </is>
      </c>
    </row>
    <row r="58" ht="6" customHeight="1">
      <c r="B58" s="8" t="inlineStr">
        <is>
          <t>Hole Fracture Gradient (ECD limit)</t>
        </is>
      </c>
      <c r="C58" s="13" t="n">
        <v>1600</v>
      </c>
      <c r="D58" s="10" t="inlineStr">
        <is>
          <t>kg/m³</t>
        </is>
      </c>
      <c r="E58" s="11" t="inlineStr">
        <is>
          <t>To prevent fluid losses</t>
        </is>
      </c>
    </row>
    <row r="59">
      <c r="B59" s="8" t="inlineStr">
        <is>
          <t>Casing Pressure Test (Test Pressure)</t>
        </is>
      </c>
      <c r="C59" s="13" t="n">
        <v>30</v>
      </c>
      <c r="D59" s="10" t="inlineStr">
        <is>
          <t>MPa</t>
        </is>
      </c>
      <c r="E59" s="11" t="inlineStr">
        <is>
          <t>For triaxial von Mises calculation</t>
        </is>
      </c>
    </row>
  </sheetData>
  <mergeCells count="9">
    <mergeCell ref="B23:E23"/>
    <mergeCell ref="B41:E41"/>
    <mergeCell ref="B18:E18"/>
    <mergeCell ref="B49:E49"/>
    <mergeCell ref="B29:E29"/>
    <mergeCell ref="B3:E3"/>
    <mergeCell ref="B5:E5"/>
    <mergeCell ref="B37:E37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3" customWidth="1" min="4" max="4"/>
    <col width="18" customWidth="1" min="5" max="5"/>
    <col width="14" customWidth="1" min="6" max="6"/>
    <col width="22" customWidth="1" min="7" max="7"/>
    <col width="16" customWidth="1" min="8" max="8"/>
  </cols>
  <sheetData>
    <row r="1"/>
    <row r="2" ht="31.5" customHeight="1">
      <c r="B2" s="1" t="inlineStr">
        <is>
          <t>WELLBORE PROFILE — DIRECTIONAL SURVEY</t>
        </is>
      </c>
    </row>
    <row r="3" ht="7.5" customHeight="1"/>
    <row r="4" ht="27.75" customHeight="1">
      <c r="B4" s="3" t="inlineStr">
        <is>
          <t>No.</t>
        </is>
      </c>
      <c r="C4" s="3" t="inlineStr">
        <is>
          <t>MD, m</t>
        </is>
      </c>
      <c r="D4" s="3" t="inlineStr">
        <is>
          <t>TVD, m</t>
        </is>
      </c>
      <c r="E4" s="3" t="inlineStr">
        <is>
          <t>Inclination, °</t>
        </is>
      </c>
      <c r="F4" s="3" t="inlineStr">
        <is>
          <t>Azimuth, °</t>
        </is>
      </c>
      <c r="G4" s="3" t="inlineStr">
        <is>
          <t>Section Type</t>
        </is>
      </c>
      <c r="H4" s="3" t="inlineStr">
        <is>
          <t>DLS, °/30m</t>
        </is>
      </c>
    </row>
    <row r="5" ht="19.5" customHeight="1">
      <c r="B5" s="14" t="n">
        <v>1</v>
      </c>
      <c r="C5" s="15" t="n">
        <v>0</v>
      </c>
      <c r="D5" s="15" t="n">
        <v>0</v>
      </c>
      <c r="E5" s="16" t="n">
        <v>0</v>
      </c>
      <c r="F5" s="16" t="n">
        <v>90</v>
      </c>
      <c r="G5" s="17" t="inlineStr">
        <is>
          <t>Vertical</t>
        </is>
      </c>
      <c r="H5" s="16" t="n">
        <v>0</v>
      </c>
    </row>
    <row r="6" ht="19.5" customHeight="1">
      <c r="B6" s="18" t="n">
        <v>2</v>
      </c>
      <c r="C6" s="19" t="n">
        <v>300</v>
      </c>
      <c r="D6" s="19" t="n">
        <v>300</v>
      </c>
      <c r="E6" s="20" t="n">
        <v>0</v>
      </c>
      <c r="F6" s="20" t="n">
        <v>90</v>
      </c>
      <c r="G6" s="21" t="inlineStr">
        <is>
          <t>Vertical</t>
        </is>
      </c>
      <c r="H6" s="20">
        <f>ABS(E6-E5)/(C6-C5)*30</f>
        <v/>
      </c>
    </row>
    <row r="7" ht="19.5" customHeight="1">
      <c r="B7" s="14" t="n">
        <v>3</v>
      </c>
      <c r="C7" s="15" t="n">
        <v>600</v>
      </c>
      <c r="D7" s="15" t="n">
        <v>600</v>
      </c>
      <c r="E7" s="16" t="n">
        <v>0</v>
      </c>
      <c r="F7" s="16" t="n">
        <v>90</v>
      </c>
      <c r="G7" s="17" t="inlineStr">
        <is>
          <t>Vertical (KOP)</t>
        </is>
      </c>
      <c r="H7" s="16">
        <f>ABS(E7-E6)/(C7-C6)*30</f>
        <v/>
      </c>
    </row>
    <row r="8" ht="19.5" customHeight="1">
      <c r="B8" s="18" t="n">
        <v>4</v>
      </c>
      <c r="C8" s="19" t="n">
        <v>750</v>
      </c>
      <c r="D8" s="19" t="n">
        <v>748</v>
      </c>
      <c r="E8" s="20" t="n">
        <v>15</v>
      </c>
      <c r="F8" s="20" t="n">
        <v>90</v>
      </c>
      <c r="G8" s="21" t="inlineStr">
        <is>
          <t>Build</t>
        </is>
      </c>
      <c r="H8" s="20">
        <f>ABS(E8-E7)/(C8-C7)*30</f>
        <v/>
      </c>
    </row>
    <row r="9" ht="19.5" customHeight="1">
      <c r="B9" s="14" t="n">
        <v>5</v>
      </c>
      <c r="C9" s="15" t="n">
        <v>900</v>
      </c>
      <c r="D9" s="15" t="n">
        <v>891</v>
      </c>
      <c r="E9" s="16" t="n">
        <v>30</v>
      </c>
      <c r="F9" s="16" t="n">
        <v>90</v>
      </c>
      <c r="G9" s="17" t="inlineStr">
        <is>
          <t>Build</t>
        </is>
      </c>
      <c r="H9" s="16">
        <f>ABS(E9-E8)/(C9-C8)*30</f>
        <v/>
      </c>
    </row>
    <row r="10" ht="19.5" customHeight="1">
      <c r="B10" s="18" t="n">
        <v>6</v>
      </c>
      <c r="C10" s="19" t="n">
        <v>1050</v>
      </c>
      <c r="D10" s="19" t="n">
        <v>1024</v>
      </c>
      <c r="E10" s="20" t="n">
        <v>45</v>
      </c>
      <c r="F10" s="20" t="n">
        <v>90</v>
      </c>
      <c r="G10" s="21" t="inlineStr">
        <is>
          <t>Build (EOC)</t>
        </is>
      </c>
      <c r="H10" s="20">
        <f>ABS(E10-E9)/(C10-C9)*30</f>
        <v/>
      </c>
    </row>
    <row r="11" ht="19.5" customHeight="1">
      <c r="B11" s="14" t="n">
        <v>7</v>
      </c>
      <c r="C11" s="15" t="n">
        <v>1500</v>
      </c>
      <c r="D11" s="15" t="n">
        <v>1341</v>
      </c>
      <c r="E11" s="16" t="n">
        <v>45</v>
      </c>
      <c r="F11" s="16" t="n">
        <v>90</v>
      </c>
      <c r="G11" s="17" t="inlineStr">
        <is>
          <t>Tangent</t>
        </is>
      </c>
      <c r="H11" s="16">
        <f>ABS(E11-E10)/(C11-C10)*30</f>
        <v/>
      </c>
    </row>
    <row r="12" ht="19.5" customHeight="1">
      <c r="B12" s="18" t="n">
        <v>8</v>
      </c>
      <c r="C12" s="19" t="n">
        <v>2000</v>
      </c>
      <c r="D12" s="19" t="n">
        <v>1694</v>
      </c>
      <c r="E12" s="20" t="n">
        <v>45</v>
      </c>
      <c r="F12" s="20" t="n">
        <v>90</v>
      </c>
      <c r="G12" s="21" t="inlineStr">
        <is>
          <t>Tangent</t>
        </is>
      </c>
      <c r="H12" s="20">
        <f>ABS(E12-E11)/(C12-C11)*30</f>
        <v/>
      </c>
    </row>
    <row r="13" ht="19.5" customHeight="1">
      <c r="B13" s="14" t="n">
        <v>9</v>
      </c>
      <c r="C13" s="15" t="n">
        <v>2500</v>
      </c>
      <c r="D13" s="15" t="n">
        <v>2048</v>
      </c>
      <c r="E13" s="16" t="n">
        <v>45</v>
      </c>
      <c r="F13" s="16" t="n">
        <v>90</v>
      </c>
      <c r="G13" s="17" t="inlineStr">
        <is>
          <t>Tangent</t>
        </is>
      </c>
      <c r="H13" s="16">
        <f>ABS(E13-E12)/(C13-C12)*30</f>
        <v/>
      </c>
    </row>
    <row r="14" ht="19.5" customHeight="1">
      <c r="B14" s="18" t="n">
        <v>10</v>
      </c>
      <c r="C14" s="19" t="n">
        <v>3000</v>
      </c>
      <c r="D14" s="19" t="n">
        <v>2401</v>
      </c>
      <c r="E14" s="20" t="n">
        <v>45</v>
      </c>
      <c r="F14" s="20" t="n">
        <v>90</v>
      </c>
      <c r="G14" s="21" t="inlineStr">
        <is>
          <t>Tangent</t>
        </is>
      </c>
      <c r="H14" s="20">
        <f>ABS(E14-E13)/(C14-C13)*30</f>
        <v/>
      </c>
    </row>
    <row r="15" ht="19.5" customHeight="1">
      <c r="B15" s="14" t="n">
        <v>11</v>
      </c>
      <c r="C15" s="15" t="n">
        <v>3450</v>
      </c>
      <c r="D15" s="15" t="n">
        <v>2695</v>
      </c>
      <c r="E15" s="16" t="n">
        <v>45</v>
      </c>
      <c r="F15" s="16" t="n">
        <v>90</v>
      </c>
      <c r="G15" s="17" t="inlineStr">
        <is>
          <t>Tangent (TD)</t>
        </is>
      </c>
      <c r="H15" s="16">
        <f>ABS(E15-E14)/(C15-C14)*30</f>
        <v/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1" customWidth="1" min="3" max="3"/>
    <col width="13" customWidth="1" min="4" max="4"/>
    <col width="9" customWidth="1" min="5" max="5"/>
    <col width="11" customWidth="1" min="6" max="6"/>
    <col width="13" customWidth="1" min="7" max="7"/>
    <col width="12" customWidth="1" min="8" max="8"/>
    <col width="13" customWidth="1" min="9" max="9"/>
    <col width="8" customWidth="1" min="10" max="10"/>
    <col width="12" customWidth="1" min="11" max="11"/>
    <col width="13" customWidth="1" min="12" max="12"/>
    <col width="14" customWidth="1" min="13" max="13"/>
    <col width="13" customWidth="1" min="14" max="14"/>
    <col width="12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1" customWidth="1" min="23" max="23"/>
    <col width="12" customWidth="1" min="24" max="24"/>
    <col width="22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/>
    <row r="2" ht="31.5" customHeight="1">
      <c r="B2" s="1" t="inlineStr">
        <is>
          <t>CASING RUNNING EVALUATION — INTERVAL ANALYSIS</t>
        </is>
      </c>
    </row>
    <row r="3" ht="18" customHeight="1">
      <c r="B3" s="2" t="inlineStr">
        <is>
          <t>Total intervals: 10. Highlighted rows represent hazardous intervals (buckling/slack-off/overpull/pressures). Hook loads are integrated from bottom to top; compression is integrated from top to bottom.</t>
        </is>
      </c>
    </row>
    <row r="4" ht="27.75" customHeight="1">
      <c r="B4" s="3" t="inlineStr">
        <is>
          <t>No.</t>
        </is>
      </c>
      <c r="C4" s="3" t="inlineStr">
        <is>
          <t>Top MD, m</t>
        </is>
      </c>
      <c r="D4" s="3" t="inlineStr">
        <is>
          <t>Bottom MD, m</t>
        </is>
      </c>
      <c r="E4" s="3" t="inlineStr">
        <is>
          <t>ΔL, m</t>
        </is>
      </c>
      <c r="F4" s="3" t="inlineStr">
        <is>
          <t>Top Inc, °</t>
        </is>
      </c>
      <c r="G4" s="3" t="inlineStr">
        <is>
          <t>Bottom Inc, °</t>
        </is>
      </c>
      <c r="H4" s="3" t="inlineStr">
        <is>
          <t>Avg Inc, °</t>
        </is>
      </c>
      <c r="I4" s="3" t="inlineStr">
        <is>
          <t>Hole Type</t>
        </is>
      </c>
      <c r="J4" s="3" t="inlineStr">
        <is>
          <t>μ</t>
        </is>
      </c>
      <c r="K4" s="3" t="inlineStr">
        <is>
          <t>Air Weight, t</t>
        </is>
      </c>
      <c r="L4" s="3" t="inlineStr">
        <is>
          <t>Buoyant Weight, t</t>
        </is>
      </c>
      <c r="M4" s="3" t="inlineStr">
        <is>
          <t>Axial Weight, t</t>
        </is>
      </c>
      <c r="N4" s="3" t="inlineStr">
        <is>
          <t>Normal Force, t</t>
        </is>
      </c>
      <c r="O4" s="3" t="inlineStr">
        <is>
          <t>Friction Force, t</t>
        </is>
      </c>
      <c r="P4" s="3" t="inlineStr">
        <is>
          <t>Acc. Friction, t</t>
        </is>
      </c>
      <c r="Q4" s="3" t="inlineStr">
        <is>
          <t>Acc. Axial Weight, t</t>
        </is>
      </c>
      <c r="R4" s="3" t="inlineStr">
        <is>
          <t>Hook Load (RIH), t</t>
        </is>
      </c>
      <c r="S4" s="3" t="inlineStr">
        <is>
          <t>Hook Load (POOH), t</t>
        </is>
      </c>
      <c r="T4" s="3" t="inlineStr">
        <is>
          <t>Compressive Force, t</t>
        </is>
      </c>
      <c r="U4" s="3" t="inlineStr">
        <is>
          <t>Crit. Sinusoidal, t</t>
        </is>
      </c>
      <c r="V4" s="3" t="inlineStr">
        <is>
          <t>Crit. Helical, t</t>
        </is>
      </c>
      <c r="W4" s="3" t="inlineStr">
        <is>
          <t>Buckling Factor</t>
        </is>
      </c>
      <c r="X4" s="3" t="inlineStr">
        <is>
          <t>Temp., °C</t>
        </is>
      </c>
      <c r="Y4" s="3" t="inlineStr">
        <is>
          <t>Status</t>
        </is>
      </c>
      <c r="Z4" s="22" t="inlineStr">
        <is>
          <t>OD, mm</t>
        </is>
      </c>
      <c r="AA4" s="22" t="inlineStr">
        <is>
          <t>ID, mm</t>
        </is>
      </c>
      <c r="AB4" s="22" t="inlineStr">
        <is>
          <t>Yp, MPa</t>
        </is>
      </c>
      <c r="AC4" s="22" t="inlineStr">
        <is>
          <t>Weight, kg/m</t>
        </is>
      </c>
      <c r="AD4" s="22" t="inlineStr">
        <is>
          <t>t, mm</t>
        </is>
      </c>
      <c r="AE4" s="22" t="inlineStr">
        <is>
          <t>I, m⁴</t>
        </is>
      </c>
      <c r="AF4" s="22" t="inlineStr">
        <is>
          <t>r, m</t>
        </is>
      </c>
      <c r="AG4" s="22" t="inlineStr">
        <is>
          <t>P_coll_res, MPa</t>
        </is>
      </c>
      <c r="AH4" s="22" t="inlineStr">
        <is>
          <t>P_burst_res, MPa</t>
        </is>
      </c>
      <c r="AI4" s="22" t="inlineStr">
        <is>
          <t>P_hydro, MPa</t>
        </is>
      </c>
      <c r="AJ4" s="22" t="inlineStr">
        <is>
          <t>v_ann, m/s</t>
        </is>
      </c>
      <c r="AK4" s="22" t="inlineStr">
        <is>
          <t>dP/dz, Pa/m</t>
        </is>
      </c>
      <c r="AL4" s="22" t="inlineStr">
        <is>
          <t>P_surge, MPa</t>
        </is>
      </c>
      <c r="AM4" s="22" t="inlineStr">
        <is>
          <t>P_total, MPa</t>
        </is>
      </c>
      <c r="AN4" s="22" t="inlineStr">
        <is>
          <t>ECD, kg/m³</t>
        </is>
      </c>
      <c r="AO4" s="22" t="inlineStr">
        <is>
          <t>SF_ECD</t>
        </is>
      </c>
      <c r="AP4" s="22" t="inlineStr">
        <is>
          <t>VM Stress, MPa</t>
        </is>
      </c>
      <c r="AQ4" s="22" t="inlineStr">
        <is>
          <t>SF_Strength</t>
        </is>
      </c>
      <c r="AR4" s="22" t="inlineStr">
        <is>
          <t>SF_Collapse</t>
        </is>
      </c>
      <c r="AS4" s="22" t="inlineStr">
        <is>
          <t>SF_Burst</t>
        </is>
      </c>
    </row>
    <row r="5" ht="21.75" customHeight="1">
      <c r="B5" s="14" t="n">
        <v>1</v>
      </c>
      <c r="C5" s="23">
        <f>'Well Profile'!C5</f>
        <v/>
      </c>
      <c r="D5" s="23">
        <f>'Well Profile'!C6</f>
        <v/>
      </c>
      <c r="E5" s="23">
        <f>D5-C5</f>
        <v/>
      </c>
      <c r="F5" s="16">
        <f>'Well Profile'!E5</f>
        <v/>
      </c>
      <c r="G5" s="16">
        <f>'Well Profile'!E6</f>
        <v/>
      </c>
      <c r="H5" s="16">
        <f>(F5+G5)/2</f>
        <v/>
      </c>
      <c r="I5" s="17">
        <f>IF(C5&lt;'Input Data'!$C$21,"cased","open")</f>
        <v/>
      </c>
      <c r="J5" s="24">
        <f>IF(I5="cased",'Input Data'!$C$38,'Input Data'!$C$39)</f>
        <v/>
      </c>
      <c r="K5" s="25">
        <f>AC5*E5/1000</f>
        <v/>
      </c>
      <c r="L5" s="25">
        <f>K5*'Input Data'!$C$50</f>
        <v/>
      </c>
      <c r="M5" s="25">
        <f>L5*COS(RADIANS(H5))</f>
        <v/>
      </c>
      <c r="N5" s="25">
        <f>SQRT((L5*SIN(RADIANS(H5)))^2 + (Q5*ABS(G5-F5)*PI()/180)^2)</f>
        <v/>
      </c>
      <c r="O5" s="25">
        <f>N5*J5</f>
        <v/>
      </c>
      <c r="P5" s="25">
        <f>O5+P6</f>
        <v/>
      </c>
      <c r="Q5" s="25">
        <f>M5+Q6</f>
        <v/>
      </c>
      <c r="R5" s="25">
        <f>Q5-P5+'Input Data'!$C$43</f>
        <v/>
      </c>
      <c r="S5" s="25">
        <f>Q5+P5+'Input Data'!$C$43</f>
        <v/>
      </c>
      <c r="T5" s="25">
        <f>'Input Data'!$C$45 - Q6 + P6</f>
        <v/>
      </c>
      <c r="U5" s="25">
        <f>IF(H5&lt;1, 1.94*(('Input Data'!$C$52*AE5*('Input Data'!$C$54^2))^(1/3))/('Input Data'!$C$57*1000), 2*SQRT('Input Data'!$C$52*AE5*'Input Data'!$C$54*SIN(RADIANS(H5))/AF5)/('Input Data'!$C$57*1000))</f>
        <v/>
      </c>
      <c r="V5" s="25">
        <f>2*U5</f>
        <v/>
      </c>
      <c r="W5" s="24">
        <f>IFERROR(IF(T5&gt;0,T5/V5,0),0)</f>
        <v/>
      </c>
      <c r="X5" s="16">
        <f>'Input Data'!$C$33+'Input Data'!$C$34*((C5+D5)/2)/100</f>
        <v/>
      </c>
      <c r="Y5" s="17">
        <f>IF(W5&gt;1,"DANGER: Helical Buckling",IF(W5&gt;0.5,"Warning: Sinusoidal Buckling",IF(AO5&lt;1,"DANGER: Fracture (ECD Limit)",IF(AR5&lt;1.15,"DANGER: Casing Collapse",IF(AS5&lt;1.1,"DANGER: Casing Burst",IF(AQ5&lt;1.25,"DANGER: Yield Stress",IF(ROW()=5,IF(S5&gt;'Input Data'!$C$44,"Overpull Limit Exceeded",IF(R5&lt;'Input Data'!$C$43,"Slack-off Required",IF(R5&gt;'Input Data'!$C$42,"Rig Capacity Exceeded","Normal"))),"Normal")))))))</f>
        <v/>
      </c>
      <c r="Z5" s="26">
        <f>LOOKUP((C5+D5)/2, 'Input Data'!$H$5:$H$7, 'Input Data'!$J$5:$J$7)</f>
        <v/>
      </c>
      <c r="AA5" s="26">
        <f>LOOKUP((C5+D5)/2, 'Input Data'!$H$5:$H$7, 'Input Data'!$K$5:$K$7)</f>
        <v/>
      </c>
      <c r="AB5" s="26">
        <f>LOOKUP((C5+D5)/2, 'Input Data'!$H$5:$H$7, 'Input Data'!$M$5:$M$7)</f>
        <v/>
      </c>
      <c r="AC5" s="26">
        <f>LOOKUP((C5+D5)/2, 'Input Data'!$H$5:$H$7, 'Input Data'!$N$5:$N$7)</f>
        <v/>
      </c>
      <c r="AD5" s="26">
        <f>(Z5-AA5)/2</f>
        <v/>
      </c>
      <c r="AE5" s="26">
        <f>PI()/64*((Z5/1000)^4-(AA5/1000)^4)</f>
        <v/>
      </c>
      <c r="AF5" s="26">
        <f>(IF(I5="cased", 'Input Data'!$C$20, 'Input Data'!$C$19)-Z5)/2000</f>
        <v/>
      </c>
      <c r="AG5" s="27">
        <f>1 / ( 1 / (2 * ('Input Data'!$C$14 * 1000) / 0.91 / ((Z5/AD5) * (Z5/AD5 - 1)^2)) + 1 / (2 * AB5 * ((Z5/AD5) - 1) / (Z5/AD5)^2) )</f>
        <v/>
      </c>
      <c r="AH5" s="27">
        <f>0.875 * 2 * AB5 * AD5 / Z5</f>
        <v/>
      </c>
      <c r="AI5" s="27">
        <f>'Input Data'!$C$30 * 'Input Data'!$C$57 * 'Well Profile'!D6 / 1000000</f>
        <v/>
      </c>
      <c r="AJ5" s="28">
        <f>'Input Data'!$C$47 * ( (Z5/1000)^2 / ( (IF(I5="cased",'Input Data'!$C$20,'Input Data'!$C$19)/1000)^2 - (Z5/1000)^2 ) + 0.4 )</f>
        <v/>
      </c>
      <c r="AK5" s="28">
        <f>12 * ('Input Data'!$C$31/1000) * AJ5 / (AF5*2)^2 + 6 * 'Input Data'!$C$32 / (AF5*2)</f>
        <v/>
      </c>
      <c r="AL5" s="27">
        <f>AK5*E5/1000000</f>
        <v/>
      </c>
      <c r="AM5" s="27">
        <f>AI5+AL5</f>
        <v/>
      </c>
      <c r="AN5" s="28">
        <f>AM5*1000000/('Input Data'!$C$57*'Well Profile'!D6)</f>
        <v/>
      </c>
      <c r="AO5" s="29">
        <f>'Input Data'!$C$58/AN5</f>
        <v/>
      </c>
      <c r="AP5" s="27">
        <f>SQRT(((Q5+P5)*9810/(PI()*(Z5^2-AA5^2)/4))^2 + ('Input Data'!$C$59*Z5/(2*AD5))^2 + (-( 'Input Data'!$C$59 + 2*AI5 ) / 2)^2 - ((Q5+P5)*9810/(PI()*(Z5^2-AA5^2)/4))*('Input Data'!$C$59*Z5/(2*AD5)) - ('Input Data'!$C$59*Z5/(2*AD5))*(-( 'Input Data'!$C$59 + 2*AI5 ) / 2) - (-( 'Input Data'!$C$59 + 2*AI5 ) / 2)*((Q5+P5)*9810/(PI()*(Z5^2-AA5^2)/4)))</f>
        <v/>
      </c>
      <c r="AQ5" s="29">
        <f>AB5/AP5</f>
        <v/>
      </c>
      <c r="AR5" s="29">
        <f>AG5/AI5</f>
        <v/>
      </c>
      <c r="AS5" s="29">
        <f>AH5/30</f>
        <v/>
      </c>
    </row>
    <row r="6" ht="21.75" customHeight="1">
      <c r="B6" s="18" t="n">
        <v>2</v>
      </c>
      <c r="C6" s="30">
        <f>'Well Profile'!C6</f>
        <v/>
      </c>
      <c r="D6" s="30">
        <f>'Well Profile'!C7</f>
        <v/>
      </c>
      <c r="E6" s="30">
        <f>D6-C6</f>
        <v/>
      </c>
      <c r="F6" s="20">
        <f>'Well Profile'!E6</f>
        <v/>
      </c>
      <c r="G6" s="20">
        <f>'Well Profile'!E7</f>
        <v/>
      </c>
      <c r="H6" s="20">
        <f>(F6+G6)/2</f>
        <v/>
      </c>
      <c r="I6" s="21">
        <f>IF(C6&lt;'Input Data'!$C$21,"cased","open")</f>
        <v/>
      </c>
      <c r="J6" s="31">
        <f>IF(I6="cased",'Input Data'!$C$38,'Input Data'!$C$39)</f>
        <v/>
      </c>
      <c r="K6" s="32">
        <f>AC6*E6/1000</f>
        <v/>
      </c>
      <c r="L6" s="32">
        <f>K6*'Input Data'!$C$50</f>
        <v/>
      </c>
      <c r="M6" s="32">
        <f>L6*COS(RADIANS(H6))</f>
        <v/>
      </c>
      <c r="N6" s="32">
        <f>SQRT((L6*SIN(RADIANS(H6)))^2 + (Q6*ABS(G6-F6)*PI()/180)^2)</f>
        <v/>
      </c>
      <c r="O6" s="32">
        <f>N6*J6</f>
        <v/>
      </c>
      <c r="P6" s="32">
        <f>O6+P7</f>
        <v/>
      </c>
      <c r="Q6" s="32">
        <f>M6+Q7</f>
        <v/>
      </c>
      <c r="R6" s="32">
        <f>Q6-P6+'Input Data'!$C$43</f>
        <v/>
      </c>
      <c r="S6" s="32">
        <f>Q6+P6+'Input Data'!$C$43</f>
        <v/>
      </c>
      <c r="T6" s="32">
        <f>'Input Data'!$C$45 - Q7 + P7</f>
        <v/>
      </c>
      <c r="U6" s="32">
        <f>IF(H6&lt;1, 1.94*(('Input Data'!$C$52*AE6*('Input Data'!$C$54^2))^(1/3))/('Input Data'!$C$57*1000), 2*SQRT('Input Data'!$C$52*AE6*'Input Data'!$C$54*SIN(RADIANS(H6))/AF6)/('Input Data'!$C$57*1000))</f>
        <v/>
      </c>
      <c r="V6" s="32">
        <f>2*U6</f>
        <v/>
      </c>
      <c r="W6" s="31">
        <f>IFERROR(IF(T6&gt;0,T6/V6,0),0)</f>
        <v/>
      </c>
      <c r="X6" s="20">
        <f>'Input Data'!$C$33+'Input Data'!$C$34*((C6+D6)/2)/100</f>
        <v/>
      </c>
      <c r="Y6" s="21">
        <f>IF(W6&gt;1,"DANGER: Helical Buckling",IF(W6&gt;0.5,"Warning: Sinusoidal Buckling",IF(AO6&lt;1,"DANGER: Fracture (ECD Limit)",IF(AR6&lt;1.15,"DANGER: Casing Collapse",IF(AS6&lt;1.1,"DANGER: Casing Burst",IF(AQ6&lt;1.25,"DANGER: Yield Stress",IF(ROW()=5,IF(S6&gt;'Input Data'!$C$44,"Overpull Limit Exceeded",IF(R6&lt;'Input Data'!$C$43,"Slack-off Required",IF(R6&gt;'Input Data'!$C$42,"Rig Capacity Exceeded","Normal"))),"Normal")))))))</f>
        <v/>
      </c>
      <c r="Z6" s="26">
        <f>LOOKUP((C6+D6)/2, 'Input Data'!$H$5:$H$7, 'Input Data'!$J$5:$J$7)</f>
        <v/>
      </c>
      <c r="AA6" s="26">
        <f>LOOKUP((C6+D6)/2, 'Input Data'!$H$5:$H$7, 'Input Data'!$K$5:$K$7)</f>
        <v/>
      </c>
      <c r="AB6" s="26">
        <f>LOOKUP((C6+D6)/2, 'Input Data'!$H$5:$H$7, 'Input Data'!$M$5:$M$7)</f>
        <v/>
      </c>
      <c r="AC6" s="26">
        <f>LOOKUP((C6+D6)/2, 'Input Data'!$H$5:$H$7, 'Input Data'!$N$5:$N$7)</f>
        <v/>
      </c>
      <c r="AD6" s="26">
        <f>(Z6-AA6)/2</f>
        <v/>
      </c>
      <c r="AE6" s="26">
        <f>PI()/64*((Z6/1000)^4-(AA6/1000)^4)</f>
        <v/>
      </c>
      <c r="AF6" s="26">
        <f>(IF(I6="cased", 'Input Data'!$C$20, 'Input Data'!$C$19)-Z6)/2000</f>
        <v/>
      </c>
      <c r="AG6" s="27">
        <f>1 / ( 1 / (2 * ('Input Data'!$C$14 * 1000) / 0.91 / ((Z6/AD6) * (Z6/AD6 - 1)^2)) + 1 / (2 * AB6 * ((Z6/AD6) - 1) / (Z6/AD6)^2) )</f>
        <v/>
      </c>
      <c r="AH6" s="27">
        <f>0.875 * 2 * AB6 * AD6 / Z6</f>
        <v/>
      </c>
      <c r="AI6" s="27">
        <f>'Input Data'!$C$30 * 'Input Data'!$C$57 * 'Well Profile'!D7 / 1000000</f>
        <v/>
      </c>
      <c r="AJ6" s="28">
        <f>'Input Data'!$C$47 * ( (Z6/1000)^2 / ( (IF(I6="cased",'Input Data'!$C$20,'Input Data'!$C$19)/1000)^2 - (Z6/1000)^2 ) + 0.4 )</f>
        <v/>
      </c>
      <c r="AK6" s="28">
        <f>12 * ('Input Data'!$C$31/1000) * AJ6 / (AF6*2)^2 + 6 * 'Input Data'!$C$32 / (AF6*2)</f>
        <v/>
      </c>
      <c r="AL6" s="27">
        <f>AL5+AK6*E6/1000000</f>
        <v/>
      </c>
      <c r="AM6" s="27">
        <f>AI6+AL6</f>
        <v/>
      </c>
      <c r="AN6" s="28">
        <f>AM6*1000000/('Input Data'!$C$57*'Well Profile'!D7)</f>
        <v/>
      </c>
      <c r="AO6" s="29">
        <f>'Input Data'!$C$58/AN6</f>
        <v/>
      </c>
      <c r="AP6" s="27">
        <f>SQRT(((Q6+P6)*9810/(PI()*(Z6^2-AA6^2)/4))^2 + ('Input Data'!$C$59*Z6/(2*AD6))^2 + (-( 'Input Data'!$C$59 + 2*AI6 ) / 2)^2 - ((Q6+P6)*9810/(PI()*(Z6^2-AA6^2)/4))*('Input Data'!$C$59*Z6/(2*AD6)) - ('Input Data'!$C$59*Z6/(2*AD6))*(-( 'Input Data'!$C$59 + 2*AI6 ) / 2) - (-( 'Input Data'!$C$59 + 2*AI6 ) / 2)*((Q6+P6)*9810/(PI()*(Z6^2-AA6^2)/4)))</f>
        <v/>
      </c>
      <c r="AQ6" s="29">
        <f>AB6/AP6</f>
        <v/>
      </c>
      <c r="AR6" s="29">
        <f>AG6/AI6</f>
        <v/>
      </c>
      <c r="AS6" s="29">
        <f>AH6/30</f>
        <v/>
      </c>
    </row>
    <row r="7" ht="21.75" customHeight="1">
      <c r="B7" s="14" t="n">
        <v>3</v>
      </c>
      <c r="C7" s="23">
        <f>'Well Profile'!C7</f>
        <v/>
      </c>
      <c r="D7" s="23">
        <f>'Well Profile'!C8</f>
        <v/>
      </c>
      <c r="E7" s="23">
        <f>D7-C7</f>
        <v/>
      </c>
      <c r="F7" s="16">
        <f>'Well Profile'!E7</f>
        <v/>
      </c>
      <c r="G7" s="16">
        <f>'Well Profile'!E8</f>
        <v/>
      </c>
      <c r="H7" s="16">
        <f>(F7+G7)/2</f>
        <v/>
      </c>
      <c r="I7" s="17">
        <f>IF(C7&lt;'Input Data'!$C$21,"cased","open")</f>
        <v/>
      </c>
      <c r="J7" s="24">
        <f>IF(I7="cased",'Input Data'!$C$38,'Input Data'!$C$39)</f>
        <v/>
      </c>
      <c r="K7" s="25">
        <f>AC7*E7/1000</f>
        <v/>
      </c>
      <c r="L7" s="25">
        <f>K7*'Input Data'!$C$50</f>
        <v/>
      </c>
      <c r="M7" s="25">
        <f>L7*COS(RADIANS(H7))</f>
        <v/>
      </c>
      <c r="N7" s="25">
        <f>SQRT((L7*SIN(RADIANS(H7)))^2 + (Q7*ABS(G7-F7)*PI()/180)^2)</f>
        <v/>
      </c>
      <c r="O7" s="25">
        <f>N7*J7</f>
        <v/>
      </c>
      <c r="P7" s="25">
        <f>O7+P8</f>
        <v/>
      </c>
      <c r="Q7" s="25">
        <f>M7+Q8</f>
        <v/>
      </c>
      <c r="R7" s="25">
        <f>Q7-P7+'Input Data'!$C$43</f>
        <v/>
      </c>
      <c r="S7" s="25">
        <f>Q7+P7+'Input Data'!$C$43</f>
        <v/>
      </c>
      <c r="T7" s="25">
        <f>'Input Data'!$C$45 - Q8 + P8</f>
        <v/>
      </c>
      <c r="U7" s="25">
        <f>IF(H7&lt;1, 1.94*(('Input Data'!$C$52*AE7*('Input Data'!$C$54^2))^(1/3))/('Input Data'!$C$57*1000), 2*SQRT('Input Data'!$C$52*AE7*'Input Data'!$C$54*SIN(RADIANS(H7))/AF7)/('Input Data'!$C$57*1000))</f>
        <v/>
      </c>
      <c r="V7" s="25">
        <f>2*U7</f>
        <v/>
      </c>
      <c r="W7" s="24">
        <f>IFERROR(IF(T7&gt;0,T7/V7,0),0)</f>
        <v/>
      </c>
      <c r="X7" s="16">
        <f>'Input Data'!$C$33+'Input Data'!$C$34*((C7+D7)/2)/100</f>
        <v/>
      </c>
      <c r="Y7" s="17">
        <f>IF(W7&gt;1,"DANGER: Helical Buckling",IF(W7&gt;0.5,"Warning: Sinusoidal Buckling",IF(AO7&lt;1,"DANGER: Fracture (ECD Limit)",IF(AR7&lt;1.15,"DANGER: Casing Collapse",IF(AS7&lt;1.1,"DANGER: Casing Burst",IF(AQ7&lt;1.25,"DANGER: Yield Stress",IF(ROW()=5,IF(S7&gt;'Input Data'!$C$44,"Overpull Limit Exceeded",IF(R7&lt;'Input Data'!$C$43,"Slack-off Required",IF(R7&gt;'Input Data'!$C$42,"Rig Capacity Exceeded","Normal"))),"Normal")))))))</f>
        <v/>
      </c>
      <c r="Z7" s="26">
        <f>LOOKUP((C7+D7)/2, 'Input Data'!$H$5:$H$7, 'Input Data'!$J$5:$J$7)</f>
        <v/>
      </c>
      <c r="AA7" s="26">
        <f>LOOKUP((C7+D7)/2, 'Input Data'!$H$5:$H$7, 'Input Data'!$K$5:$K$7)</f>
        <v/>
      </c>
      <c r="AB7" s="26">
        <f>LOOKUP((C7+D7)/2, 'Input Data'!$H$5:$H$7, 'Input Data'!$M$5:$M$7)</f>
        <v/>
      </c>
      <c r="AC7" s="26">
        <f>LOOKUP((C7+D7)/2, 'Input Data'!$H$5:$H$7, 'Input Data'!$N$5:$N$7)</f>
        <v/>
      </c>
      <c r="AD7" s="26">
        <f>(Z7-AA7)/2</f>
        <v/>
      </c>
      <c r="AE7" s="26">
        <f>PI()/64*((Z7/1000)^4-(AA7/1000)^4)</f>
        <v/>
      </c>
      <c r="AF7" s="26">
        <f>(IF(I7="cased", 'Input Data'!$C$20, 'Input Data'!$C$19)-Z7)/2000</f>
        <v/>
      </c>
      <c r="AG7" s="27">
        <f>1 / ( 1 / (2 * ('Input Data'!$C$14 * 1000) / 0.91 / ((Z7/AD7) * (Z7/AD7 - 1)^2)) + 1 / (2 * AB7 * ((Z7/AD7) - 1) / (Z7/AD7)^2) )</f>
        <v/>
      </c>
      <c r="AH7" s="27">
        <f>0.875 * 2 * AB7 * AD7 / Z7</f>
        <v/>
      </c>
      <c r="AI7" s="27">
        <f>'Input Data'!$C$30 * 'Input Data'!$C$57 * 'Well Profile'!D8 / 1000000</f>
        <v/>
      </c>
      <c r="AJ7" s="28">
        <f>'Input Data'!$C$47 * ( (Z7/1000)^2 / ( (IF(I7="cased",'Input Data'!$C$20,'Input Data'!$C$19)/1000)^2 - (Z7/1000)^2 ) + 0.4 )</f>
        <v/>
      </c>
      <c r="AK7" s="28">
        <f>12 * ('Input Data'!$C$31/1000) * AJ7 / (AF7*2)^2 + 6 * 'Input Data'!$C$32 / (AF7*2)</f>
        <v/>
      </c>
      <c r="AL7" s="27">
        <f>AL6+AK7*E7/1000000</f>
        <v/>
      </c>
      <c r="AM7" s="27">
        <f>AI7+AL7</f>
        <v/>
      </c>
      <c r="AN7" s="28">
        <f>AM7*1000000/('Input Data'!$C$57*'Well Profile'!D8)</f>
        <v/>
      </c>
      <c r="AO7" s="29">
        <f>'Input Data'!$C$58/AN7</f>
        <v/>
      </c>
      <c r="AP7" s="27">
        <f>SQRT(((Q7+P7)*9810/(PI()*(Z7^2-AA7^2)/4))^2 + ('Input Data'!$C$59*Z7/(2*AD7))^2 + (-( 'Input Data'!$C$59 + 2*AI7 ) / 2)^2 - ((Q7+P7)*9810/(PI()*(Z7^2-AA7^2)/4))*('Input Data'!$C$59*Z7/(2*AD7)) - ('Input Data'!$C$59*Z7/(2*AD7))*(-( 'Input Data'!$C$59 + 2*AI7 ) / 2) - (-( 'Input Data'!$C$59 + 2*AI7 ) / 2)*((Q7+P7)*9810/(PI()*(Z7^2-AA7^2)/4)))</f>
        <v/>
      </c>
      <c r="AQ7" s="29">
        <f>AB7/AP7</f>
        <v/>
      </c>
      <c r="AR7" s="29">
        <f>AG7/AI7</f>
        <v/>
      </c>
      <c r="AS7" s="29">
        <f>AH7/30</f>
        <v/>
      </c>
    </row>
    <row r="8" ht="21.75" customHeight="1">
      <c r="B8" s="18" t="n">
        <v>4</v>
      </c>
      <c r="C8" s="30">
        <f>'Well Profile'!C8</f>
        <v/>
      </c>
      <c r="D8" s="30">
        <f>'Well Profile'!C9</f>
        <v/>
      </c>
      <c r="E8" s="30">
        <f>D8-C8</f>
        <v/>
      </c>
      <c r="F8" s="20">
        <f>'Well Profile'!E8</f>
        <v/>
      </c>
      <c r="G8" s="20">
        <f>'Well Profile'!E9</f>
        <v/>
      </c>
      <c r="H8" s="20">
        <f>(F8+G8)/2</f>
        <v/>
      </c>
      <c r="I8" s="21">
        <f>IF(C8&lt;'Input Data'!$C$21,"cased","open")</f>
        <v/>
      </c>
      <c r="J8" s="31">
        <f>IF(I8="cased",'Input Data'!$C$38,'Input Data'!$C$39)</f>
        <v/>
      </c>
      <c r="K8" s="32">
        <f>AC8*E8/1000</f>
        <v/>
      </c>
      <c r="L8" s="32">
        <f>K8*'Input Data'!$C$50</f>
        <v/>
      </c>
      <c r="M8" s="32">
        <f>L8*COS(RADIANS(H8))</f>
        <v/>
      </c>
      <c r="N8" s="32">
        <f>SQRT((L8*SIN(RADIANS(H8)))^2 + (Q8*ABS(G8-F8)*PI()/180)^2)</f>
        <v/>
      </c>
      <c r="O8" s="32">
        <f>N8*J8</f>
        <v/>
      </c>
      <c r="P8" s="32">
        <f>O8+P9</f>
        <v/>
      </c>
      <c r="Q8" s="32">
        <f>M8+Q9</f>
        <v/>
      </c>
      <c r="R8" s="32">
        <f>Q8-P8+'Input Data'!$C$43</f>
        <v/>
      </c>
      <c r="S8" s="32">
        <f>Q8+P8+'Input Data'!$C$43</f>
        <v/>
      </c>
      <c r="T8" s="32">
        <f>'Input Data'!$C$45 - Q9 + P9</f>
        <v/>
      </c>
      <c r="U8" s="32">
        <f>IF(H8&lt;1, 1.94*(('Input Data'!$C$52*AE8*('Input Data'!$C$54^2))^(1/3))/('Input Data'!$C$57*1000), 2*SQRT('Input Data'!$C$52*AE8*'Input Data'!$C$54*SIN(RADIANS(H8))/AF8)/('Input Data'!$C$57*1000))</f>
        <v/>
      </c>
      <c r="V8" s="32">
        <f>2*U8</f>
        <v/>
      </c>
      <c r="W8" s="31">
        <f>IFERROR(IF(T8&gt;0,T8/V8,0),0)</f>
        <v/>
      </c>
      <c r="X8" s="20">
        <f>'Input Data'!$C$33+'Input Data'!$C$34*((C8+D8)/2)/100</f>
        <v/>
      </c>
      <c r="Y8" s="21">
        <f>IF(W8&gt;1,"DANGER: Helical Buckling",IF(W8&gt;0.5,"Warning: Sinusoidal Buckling",IF(AO8&lt;1,"DANGER: Fracture (ECD Limit)",IF(AR8&lt;1.15,"DANGER: Casing Collapse",IF(AS8&lt;1.1,"DANGER: Casing Burst",IF(AQ8&lt;1.25,"DANGER: Yield Stress",IF(ROW()=5,IF(S8&gt;'Input Data'!$C$44,"Overpull Limit Exceeded",IF(R8&lt;'Input Data'!$C$43,"Slack-off Required",IF(R8&gt;'Input Data'!$C$42,"Rig Capacity Exceeded","Normal"))),"Normal")))))))</f>
        <v/>
      </c>
      <c r="Z8" s="26">
        <f>LOOKUP((C8+D8)/2, 'Input Data'!$H$5:$H$7, 'Input Data'!$J$5:$J$7)</f>
        <v/>
      </c>
      <c r="AA8" s="26">
        <f>LOOKUP((C8+D8)/2, 'Input Data'!$H$5:$H$7, 'Input Data'!$K$5:$K$7)</f>
        <v/>
      </c>
      <c r="AB8" s="26">
        <f>LOOKUP((C8+D8)/2, 'Input Data'!$H$5:$H$7, 'Input Data'!$M$5:$M$7)</f>
        <v/>
      </c>
      <c r="AC8" s="26">
        <f>LOOKUP((C8+D8)/2, 'Input Data'!$H$5:$H$7, 'Input Data'!$N$5:$N$7)</f>
        <v/>
      </c>
      <c r="AD8" s="26">
        <f>(Z8-AA8)/2</f>
        <v/>
      </c>
      <c r="AE8" s="26">
        <f>PI()/64*((Z8/1000)^4-(AA8/1000)^4)</f>
        <v/>
      </c>
      <c r="AF8" s="26">
        <f>(IF(I8="cased", 'Input Data'!$C$20, 'Input Data'!$C$19)-Z8)/2000</f>
        <v/>
      </c>
      <c r="AG8" s="27">
        <f>1 / ( 1 / (2 * ('Input Data'!$C$14 * 1000) / 0.91 / ((Z8/AD8) * (Z8/AD8 - 1)^2)) + 1 / (2 * AB8 * ((Z8/AD8) - 1) / (Z8/AD8)^2) )</f>
        <v/>
      </c>
      <c r="AH8" s="27">
        <f>0.875 * 2 * AB8 * AD8 / Z8</f>
        <v/>
      </c>
      <c r="AI8" s="27">
        <f>'Input Data'!$C$30 * 'Input Data'!$C$57 * 'Well Profile'!D9 / 1000000</f>
        <v/>
      </c>
      <c r="AJ8" s="28">
        <f>'Input Data'!$C$47 * ( (Z8/1000)^2 / ( (IF(I8="cased",'Input Data'!$C$20,'Input Data'!$C$19)/1000)^2 - (Z8/1000)^2 ) + 0.4 )</f>
        <v/>
      </c>
      <c r="AK8" s="28">
        <f>12 * ('Input Data'!$C$31/1000) * AJ8 / (AF8*2)^2 + 6 * 'Input Data'!$C$32 / (AF8*2)</f>
        <v/>
      </c>
      <c r="AL8" s="27">
        <f>AL7+AK8*E8/1000000</f>
        <v/>
      </c>
      <c r="AM8" s="27">
        <f>AI8+AL8</f>
        <v/>
      </c>
      <c r="AN8" s="28">
        <f>AM8*1000000/('Input Data'!$C$57*'Well Profile'!D9)</f>
        <v/>
      </c>
      <c r="AO8" s="29">
        <f>'Input Data'!$C$58/AN8</f>
        <v/>
      </c>
      <c r="AP8" s="27">
        <f>SQRT(((Q8+P8)*9810/(PI()*(Z8^2-AA8^2)/4))^2 + ('Input Data'!$C$59*Z8/(2*AD8))^2 + (-( 'Input Data'!$C$59 + 2*AI8 ) / 2)^2 - ((Q8+P8)*9810/(PI()*(Z8^2-AA8^2)/4))*('Input Data'!$C$59*Z8/(2*AD8)) - ('Input Data'!$C$59*Z8/(2*AD8))*(-( 'Input Data'!$C$59 + 2*AI8 ) / 2) - (-( 'Input Data'!$C$59 + 2*AI8 ) / 2)*((Q8+P8)*9810/(PI()*(Z8^2-AA8^2)/4)))</f>
        <v/>
      </c>
      <c r="AQ8" s="29">
        <f>AB8/AP8</f>
        <v/>
      </c>
      <c r="AR8" s="29">
        <f>AG8/AI8</f>
        <v/>
      </c>
      <c r="AS8" s="29">
        <f>AH8/30</f>
        <v/>
      </c>
    </row>
    <row r="9" ht="21.75" customHeight="1">
      <c r="B9" s="14" t="n">
        <v>5</v>
      </c>
      <c r="C9" s="23">
        <f>'Well Profile'!C9</f>
        <v/>
      </c>
      <c r="D9" s="23">
        <f>'Well Profile'!C10</f>
        <v/>
      </c>
      <c r="E9" s="23">
        <f>D9-C9</f>
        <v/>
      </c>
      <c r="F9" s="16">
        <f>'Well Profile'!E9</f>
        <v/>
      </c>
      <c r="G9" s="16">
        <f>'Well Profile'!E10</f>
        <v/>
      </c>
      <c r="H9" s="16">
        <f>(F9+G9)/2</f>
        <v/>
      </c>
      <c r="I9" s="17">
        <f>IF(C9&lt;'Input Data'!$C$21,"cased","open")</f>
        <v/>
      </c>
      <c r="J9" s="24">
        <f>IF(I9="cased",'Input Data'!$C$38,'Input Data'!$C$39)</f>
        <v/>
      </c>
      <c r="K9" s="25">
        <f>AC9*E9/1000</f>
        <v/>
      </c>
      <c r="L9" s="25">
        <f>K9*'Input Data'!$C$50</f>
        <v/>
      </c>
      <c r="M9" s="25">
        <f>L9*COS(RADIANS(H9))</f>
        <v/>
      </c>
      <c r="N9" s="25">
        <f>SQRT((L9*SIN(RADIANS(H9)))^2 + (Q9*ABS(G9-F9)*PI()/180)^2)</f>
        <v/>
      </c>
      <c r="O9" s="25">
        <f>N9*J9</f>
        <v/>
      </c>
      <c r="P9" s="25">
        <f>O9+P10</f>
        <v/>
      </c>
      <c r="Q9" s="25">
        <f>M9+Q10</f>
        <v/>
      </c>
      <c r="R9" s="25">
        <f>Q9-P9+'Input Data'!$C$43</f>
        <v/>
      </c>
      <c r="S9" s="25">
        <f>Q9+P9+'Input Data'!$C$43</f>
        <v/>
      </c>
      <c r="T9" s="25">
        <f>'Input Data'!$C$45 - Q10 + P10</f>
        <v/>
      </c>
      <c r="U9" s="25">
        <f>IF(H9&lt;1, 1.94*(('Input Data'!$C$52*AE9*('Input Data'!$C$54^2))^(1/3))/('Input Data'!$C$57*1000), 2*SQRT('Input Data'!$C$52*AE9*'Input Data'!$C$54*SIN(RADIANS(H9))/AF9)/('Input Data'!$C$57*1000))</f>
        <v/>
      </c>
      <c r="V9" s="25">
        <f>2*U9</f>
        <v/>
      </c>
      <c r="W9" s="24">
        <f>IFERROR(IF(T9&gt;0,T9/V9,0),0)</f>
        <v/>
      </c>
      <c r="X9" s="16">
        <f>'Input Data'!$C$33+'Input Data'!$C$34*((C9+D9)/2)/100</f>
        <v/>
      </c>
      <c r="Y9" s="17">
        <f>IF(W9&gt;1,"DANGER: Helical Buckling",IF(W9&gt;0.5,"Warning: Sinusoidal Buckling",IF(AO9&lt;1,"DANGER: Fracture (ECD Limit)",IF(AR9&lt;1.15,"DANGER: Casing Collapse",IF(AS9&lt;1.1,"DANGER: Casing Burst",IF(AQ9&lt;1.25,"DANGER: Yield Stress",IF(ROW()=5,IF(S9&gt;'Input Data'!$C$44,"Overpull Limit Exceeded",IF(R9&lt;'Input Data'!$C$43,"Slack-off Required",IF(R9&gt;'Input Data'!$C$42,"Rig Capacity Exceeded","Normal"))),"Normal")))))))</f>
        <v/>
      </c>
      <c r="Z9" s="26">
        <f>LOOKUP((C9+D9)/2, 'Input Data'!$H$5:$H$7, 'Input Data'!$J$5:$J$7)</f>
        <v/>
      </c>
      <c r="AA9" s="26">
        <f>LOOKUP((C9+D9)/2, 'Input Data'!$H$5:$H$7, 'Input Data'!$K$5:$K$7)</f>
        <v/>
      </c>
      <c r="AB9" s="26">
        <f>LOOKUP((C9+D9)/2, 'Input Data'!$H$5:$H$7, 'Input Data'!$M$5:$M$7)</f>
        <v/>
      </c>
      <c r="AC9" s="26">
        <f>LOOKUP((C9+D9)/2, 'Input Data'!$H$5:$H$7, 'Input Data'!$N$5:$N$7)</f>
        <v/>
      </c>
      <c r="AD9" s="26">
        <f>(Z9-AA9)/2</f>
        <v/>
      </c>
      <c r="AE9" s="26">
        <f>PI()/64*((Z9/1000)^4-(AA9/1000)^4)</f>
        <v/>
      </c>
      <c r="AF9" s="26">
        <f>(IF(I9="cased", 'Input Data'!$C$20, 'Input Data'!$C$19)-Z9)/2000</f>
        <v/>
      </c>
      <c r="AG9" s="27">
        <f>1 / ( 1 / (2 * ('Input Data'!$C$14 * 1000) / 0.91 / ((Z9/AD9) * (Z9/AD9 - 1)^2)) + 1 / (2 * AB9 * ((Z9/AD9) - 1) / (Z9/AD9)^2) )</f>
        <v/>
      </c>
      <c r="AH9" s="27">
        <f>0.875 * 2 * AB9 * AD9 / Z9</f>
        <v/>
      </c>
      <c r="AI9" s="27">
        <f>'Input Data'!$C$30 * 'Input Data'!$C$57 * 'Well Profile'!D10 / 1000000</f>
        <v/>
      </c>
      <c r="AJ9" s="28">
        <f>'Input Data'!$C$47 * ( (Z9/1000)^2 / ( (IF(I9="cased",'Input Data'!$C$20,'Input Data'!$C$19)/1000)^2 - (Z9/1000)^2 ) + 0.4 )</f>
        <v/>
      </c>
      <c r="AK9" s="28">
        <f>12 * ('Input Data'!$C$31/1000) * AJ9 / (AF9*2)^2 + 6 * 'Input Data'!$C$32 / (AF9*2)</f>
        <v/>
      </c>
      <c r="AL9" s="27">
        <f>AL8+AK9*E9/1000000</f>
        <v/>
      </c>
      <c r="AM9" s="27">
        <f>AI9+AL9</f>
        <v/>
      </c>
      <c r="AN9" s="28">
        <f>AM9*1000000/('Input Data'!$C$57*'Well Profile'!D10)</f>
        <v/>
      </c>
      <c r="AO9" s="29">
        <f>'Input Data'!$C$58/AN9</f>
        <v/>
      </c>
      <c r="AP9" s="27">
        <f>SQRT(((Q9+P9)*9810/(PI()*(Z9^2-AA9^2)/4))^2 + ('Input Data'!$C$59*Z9/(2*AD9))^2 + (-( 'Input Data'!$C$59 + 2*AI9 ) / 2)^2 - ((Q9+P9)*9810/(PI()*(Z9^2-AA9^2)/4))*('Input Data'!$C$59*Z9/(2*AD9)) - ('Input Data'!$C$59*Z9/(2*AD9))*(-( 'Input Data'!$C$59 + 2*AI9 ) / 2) - (-( 'Input Data'!$C$59 + 2*AI9 ) / 2)*((Q9+P9)*9810/(PI()*(Z9^2-AA9^2)/4)))</f>
        <v/>
      </c>
      <c r="AQ9" s="29">
        <f>AB9/AP9</f>
        <v/>
      </c>
      <c r="AR9" s="29">
        <f>AG9/AI9</f>
        <v/>
      </c>
      <c r="AS9" s="29">
        <f>AH9/30</f>
        <v/>
      </c>
    </row>
    <row r="10" ht="21.75" customHeight="1">
      <c r="B10" s="18" t="n">
        <v>6</v>
      </c>
      <c r="C10" s="30">
        <f>'Well Profile'!C10</f>
        <v/>
      </c>
      <c r="D10" s="30">
        <f>'Well Profile'!C11</f>
        <v/>
      </c>
      <c r="E10" s="30">
        <f>D10-C10</f>
        <v/>
      </c>
      <c r="F10" s="20">
        <f>'Well Profile'!E10</f>
        <v/>
      </c>
      <c r="G10" s="20">
        <f>'Well Profile'!E11</f>
        <v/>
      </c>
      <c r="H10" s="20">
        <f>(F10+G10)/2</f>
        <v/>
      </c>
      <c r="I10" s="21">
        <f>IF(C10&lt;'Input Data'!$C$21,"cased","open")</f>
        <v/>
      </c>
      <c r="J10" s="31">
        <f>IF(I10="cased",'Input Data'!$C$38,'Input Data'!$C$39)</f>
        <v/>
      </c>
      <c r="K10" s="32">
        <f>AC10*E10/1000</f>
        <v/>
      </c>
      <c r="L10" s="32">
        <f>K10*'Input Data'!$C$50</f>
        <v/>
      </c>
      <c r="M10" s="32">
        <f>L10*COS(RADIANS(H10))</f>
        <v/>
      </c>
      <c r="N10" s="32">
        <f>SQRT((L10*SIN(RADIANS(H10)))^2 + (Q10*ABS(G10-F10)*PI()/180)^2)</f>
        <v/>
      </c>
      <c r="O10" s="32">
        <f>N10*J10</f>
        <v/>
      </c>
      <c r="P10" s="32">
        <f>O10+P11</f>
        <v/>
      </c>
      <c r="Q10" s="32">
        <f>M10+Q11</f>
        <v/>
      </c>
      <c r="R10" s="32">
        <f>Q10-P10+'Input Data'!$C$43</f>
        <v/>
      </c>
      <c r="S10" s="32">
        <f>Q10+P10+'Input Data'!$C$43</f>
        <v/>
      </c>
      <c r="T10" s="32">
        <f>'Input Data'!$C$45 - Q11 + P11</f>
        <v/>
      </c>
      <c r="U10" s="32">
        <f>IF(H10&lt;1, 1.94*(('Input Data'!$C$52*AE10*('Input Data'!$C$54^2))^(1/3))/('Input Data'!$C$57*1000), 2*SQRT('Input Data'!$C$52*AE10*'Input Data'!$C$54*SIN(RADIANS(H10))/AF10)/('Input Data'!$C$57*1000))</f>
        <v/>
      </c>
      <c r="V10" s="32">
        <f>2*U10</f>
        <v/>
      </c>
      <c r="W10" s="31">
        <f>IFERROR(IF(T10&gt;0,T10/V10,0),0)</f>
        <v/>
      </c>
      <c r="X10" s="20">
        <f>'Input Data'!$C$33+'Input Data'!$C$34*((C10+D10)/2)/100</f>
        <v/>
      </c>
      <c r="Y10" s="21">
        <f>IF(W10&gt;1,"DANGER: Helical Buckling",IF(W10&gt;0.5,"Warning: Sinusoidal Buckling",IF(AO10&lt;1,"DANGER: Fracture (ECD Limit)",IF(AR10&lt;1.15,"DANGER: Casing Collapse",IF(AS10&lt;1.1,"DANGER: Casing Burst",IF(AQ10&lt;1.25,"DANGER: Yield Stress",IF(ROW()=5,IF(S10&gt;'Input Data'!$C$44,"Overpull Limit Exceeded",IF(R10&lt;'Input Data'!$C$43,"Slack-off Required",IF(R10&gt;'Input Data'!$C$42,"Rig Capacity Exceeded","Normal"))),"Normal")))))))</f>
        <v/>
      </c>
      <c r="Z10" s="26">
        <f>LOOKUP((C10+D10)/2, 'Input Data'!$H$5:$H$7, 'Input Data'!$J$5:$J$7)</f>
        <v/>
      </c>
      <c r="AA10" s="26">
        <f>LOOKUP((C10+D10)/2, 'Input Data'!$H$5:$H$7, 'Input Data'!$K$5:$K$7)</f>
        <v/>
      </c>
      <c r="AB10" s="26">
        <f>LOOKUP((C10+D10)/2, 'Input Data'!$H$5:$H$7, 'Input Data'!$M$5:$M$7)</f>
        <v/>
      </c>
      <c r="AC10" s="26">
        <f>LOOKUP((C10+D10)/2, 'Input Data'!$H$5:$H$7, 'Input Data'!$N$5:$N$7)</f>
        <v/>
      </c>
      <c r="AD10" s="26">
        <f>(Z10-AA10)/2</f>
        <v/>
      </c>
      <c r="AE10" s="26">
        <f>PI()/64*((Z10/1000)^4-(AA10/1000)^4)</f>
        <v/>
      </c>
      <c r="AF10" s="26">
        <f>(IF(I10="cased", 'Input Data'!$C$20, 'Input Data'!$C$19)-Z10)/2000</f>
        <v/>
      </c>
      <c r="AG10" s="27">
        <f>1 / ( 1 / (2 * ('Input Data'!$C$14 * 1000) / 0.91 / ((Z10/AD10) * (Z10/AD10 - 1)^2)) + 1 / (2 * AB10 * ((Z10/AD10) - 1) / (Z10/AD10)^2) )</f>
        <v/>
      </c>
      <c r="AH10" s="27">
        <f>0.875 * 2 * AB10 * AD10 / Z10</f>
        <v/>
      </c>
      <c r="AI10" s="27">
        <f>'Input Data'!$C$30 * 'Input Data'!$C$57 * 'Well Profile'!D11 / 1000000</f>
        <v/>
      </c>
      <c r="AJ10" s="28">
        <f>'Input Data'!$C$47 * ( (Z10/1000)^2 / ( (IF(I10="cased",'Input Data'!$C$20,'Input Data'!$C$19)/1000)^2 - (Z10/1000)^2 ) + 0.4 )</f>
        <v/>
      </c>
      <c r="AK10" s="28">
        <f>12 * ('Input Data'!$C$31/1000) * AJ10 / (AF10*2)^2 + 6 * 'Input Data'!$C$32 / (AF10*2)</f>
        <v/>
      </c>
      <c r="AL10" s="27">
        <f>AL9+AK10*E10/1000000</f>
        <v/>
      </c>
      <c r="AM10" s="27">
        <f>AI10+AL10</f>
        <v/>
      </c>
      <c r="AN10" s="28">
        <f>AM10*1000000/('Input Data'!$C$57*'Well Profile'!D11)</f>
        <v/>
      </c>
      <c r="AO10" s="29">
        <f>'Input Data'!$C$58/AN10</f>
        <v/>
      </c>
      <c r="AP10" s="27">
        <f>SQRT(((Q10+P10)*9810/(PI()*(Z10^2-AA10^2)/4))^2 + ('Input Data'!$C$59*Z10/(2*AD10))^2 + (-( 'Input Data'!$C$59 + 2*AI10 ) / 2)^2 - ((Q10+P10)*9810/(PI()*(Z10^2-AA10^2)/4))*('Input Data'!$C$59*Z10/(2*AD10)) - ('Input Data'!$C$59*Z10/(2*AD10))*(-( 'Input Data'!$C$59 + 2*AI10 ) / 2) - (-( 'Input Data'!$C$59 + 2*AI10 ) / 2)*((Q10+P10)*9810/(PI()*(Z10^2-AA10^2)/4)))</f>
        <v/>
      </c>
      <c r="AQ10" s="29">
        <f>AB10/AP10</f>
        <v/>
      </c>
      <c r="AR10" s="29">
        <f>AG10/AI10</f>
        <v/>
      </c>
      <c r="AS10" s="29">
        <f>AH10/30</f>
        <v/>
      </c>
    </row>
    <row r="11" ht="21.75" customHeight="1">
      <c r="B11" s="14" t="n">
        <v>7</v>
      </c>
      <c r="C11" s="23">
        <f>'Well Profile'!C11</f>
        <v/>
      </c>
      <c r="D11" s="23">
        <f>'Well Profile'!C12</f>
        <v/>
      </c>
      <c r="E11" s="23">
        <f>D11-C11</f>
        <v/>
      </c>
      <c r="F11" s="16">
        <f>'Well Profile'!E11</f>
        <v/>
      </c>
      <c r="G11" s="16">
        <f>'Well Profile'!E12</f>
        <v/>
      </c>
      <c r="H11" s="16">
        <f>(F11+G11)/2</f>
        <v/>
      </c>
      <c r="I11" s="17">
        <f>IF(C11&lt;'Input Data'!$C$21,"cased","open")</f>
        <v/>
      </c>
      <c r="J11" s="24">
        <f>IF(I11="cased",'Input Data'!$C$38,'Input Data'!$C$39)</f>
        <v/>
      </c>
      <c r="K11" s="25">
        <f>AC11*E11/1000</f>
        <v/>
      </c>
      <c r="L11" s="25">
        <f>K11*'Input Data'!$C$50</f>
        <v/>
      </c>
      <c r="M11" s="25">
        <f>L11*COS(RADIANS(H11))</f>
        <v/>
      </c>
      <c r="N11" s="25">
        <f>SQRT((L11*SIN(RADIANS(H11)))^2 + (Q11*ABS(G11-F11)*PI()/180)^2)</f>
        <v/>
      </c>
      <c r="O11" s="25">
        <f>N11*J11</f>
        <v/>
      </c>
      <c r="P11" s="25">
        <f>O11+P12</f>
        <v/>
      </c>
      <c r="Q11" s="25">
        <f>M11+Q12</f>
        <v/>
      </c>
      <c r="R11" s="25">
        <f>Q11-P11+'Input Data'!$C$43</f>
        <v/>
      </c>
      <c r="S11" s="25">
        <f>Q11+P11+'Input Data'!$C$43</f>
        <v/>
      </c>
      <c r="T11" s="25">
        <f>'Input Data'!$C$45 - Q12 + P12</f>
        <v/>
      </c>
      <c r="U11" s="25">
        <f>IF(H11&lt;1, 1.94*(('Input Data'!$C$52*AE11*('Input Data'!$C$54^2))^(1/3))/('Input Data'!$C$57*1000), 2*SQRT('Input Data'!$C$52*AE11*'Input Data'!$C$54*SIN(RADIANS(H11))/AF11)/('Input Data'!$C$57*1000))</f>
        <v/>
      </c>
      <c r="V11" s="25">
        <f>2*U11</f>
        <v/>
      </c>
      <c r="W11" s="24">
        <f>IFERROR(IF(T11&gt;0,T11/V11,0),0)</f>
        <v/>
      </c>
      <c r="X11" s="16">
        <f>'Input Data'!$C$33+'Input Data'!$C$34*((C11+D11)/2)/100</f>
        <v/>
      </c>
      <c r="Y11" s="17">
        <f>IF(W11&gt;1,"DANGER: Helical Buckling",IF(W11&gt;0.5,"Warning: Sinusoidal Buckling",IF(AO11&lt;1,"DANGER: Fracture (ECD Limit)",IF(AR11&lt;1.15,"DANGER: Casing Collapse",IF(AS11&lt;1.1,"DANGER: Casing Burst",IF(AQ11&lt;1.25,"DANGER: Yield Stress",IF(ROW()=5,IF(S11&gt;'Input Data'!$C$44,"Overpull Limit Exceeded",IF(R11&lt;'Input Data'!$C$43,"Slack-off Required",IF(R11&gt;'Input Data'!$C$42,"Rig Capacity Exceeded","Normal"))),"Normal")))))))</f>
        <v/>
      </c>
      <c r="Z11" s="26">
        <f>LOOKUP((C11+D11)/2, 'Input Data'!$H$5:$H$7, 'Input Data'!$J$5:$J$7)</f>
        <v/>
      </c>
      <c r="AA11" s="26">
        <f>LOOKUP((C11+D11)/2, 'Input Data'!$H$5:$H$7, 'Input Data'!$K$5:$K$7)</f>
        <v/>
      </c>
      <c r="AB11" s="26">
        <f>LOOKUP((C11+D11)/2, 'Input Data'!$H$5:$H$7, 'Input Data'!$M$5:$M$7)</f>
        <v/>
      </c>
      <c r="AC11" s="26">
        <f>LOOKUP((C11+D11)/2, 'Input Data'!$H$5:$H$7, 'Input Data'!$N$5:$N$7)</f>
        <v/>
      </c>
      <c r="AD11" s="26">
        <f>(Z11-AA11)/2</f>
        <v/>
      </c>
      <c r="AE11" s="26">
        <f>PI()/64*((Z11/1000)^4-(AA11/1000)^4)</f>
        <v/>
      </c>
      <c r="AF11" s="26">
        <f>(IF(I11="cased", 'Input Data'!$C$20, 'Input Data'!$C$19)-Z11)/2000</f>
        <v/>
      </c>
      <c r="AG11" s="27">
        <f>1 / ( 1 / (2 * ('Input Data'!$C$14 * 1000) / 0.91 / ((Z11/AD11) * (Z11/AD11 - 1)^2)) + 1 / (2 * AB11 * ((Z11/AD11) - 1) / (Z11/AD11)^2) )</f>
        <v/>
      </c>
      <c r="AH11" s="27">
        <f>0.875 * 2 * AB11 * AD11 / Z11</f>
        <v/>
      </c>
      <c r="AI11" s="27">
        <f>'Input Data'!$C$30 * 'Input Data'!$C$57 * 'Well Profile'!D12 / 1000000</f>
        <v/>
      </c>
      <c r="AJ11" s="28">
        <f>'Input Data'!$C$47 * ( (Z11/1000)^2 / ( (IF(I11="cased",'Input Data'!$C$20,'Input Data'!$C$19)/1000)^2 - (Z11/1000)^2 ) + 0.4 )</f>
        <v/>
      </c>
      <c r="AK11" s="28">
        <f>12 * ('Input Data'!$C$31/1000) * AJ11 / (AF11*2)^2 + 6 * 'Input Data'!$C$32 / (AF11*2)</f>
        <v/>
      </c>
      <c r="AL11" s="27">
        <f>AL10+AK11*E11/1000000</f>
        <v/>
      </c>
      <c r="AM11" s="27">
        <f>AI11+AL11</f>
        <v/>
      </c>
      <c r="AN11" s="28">
        <f>AM11*1000000/('Input Data'!$C$57*'Well Profile'!D12)</f>
        <v/>
      </c>
      <c r="AO11" s="29">
        <f>'Input Data'!$C$58/AN11</f>
        <v/>
      </c>
      <c r="AP11" s="27">
        <f>SQRT(((Q11+P11)*9810/(PI()*(Z11^2-AA11^2)/4))^2 + ('Input Data'!$C$59*Z11/(2*AD11))^2 + (-( 'Input Data'!$C$59 + 2*AI11 ) / 2)^2 - ((Q11+P11)*9810/(PI()*(Z11^2-AA11^2)/4))*('Input Data'!$C$59*Z11/(2*AD11)) - ('Input Data'!$C$59*Z11/(2*AD11))*(-( 'Input Data'!$C$59 + 2*AI11 ) / 2) - (-( 'Input Data'!$C$59 + 2*AI11 ) / 2)*((Q11+P11)*9810/(PI()*(Z11^2-AA11^2)/4)))</f>
        <v/>
      </c>
      <c r="AQ11" s="29">
        <f>AB11/AP11</f>
        <v/>
      </c>
      <c r="AR11" s="29">
        <f>AG11/AI11</f>
        <v/>
      </c>
      <c r="AS11" s="29">
        <f>AH11/30</f>
        <v/>
      </c>
    </row>
    <row r="12" ht="21.75" customHeight="1">
      <c r="B12" s="18" t="n">
        <v>8</v>
      </c>
      <c r="C12" s="30">
        <f>'Well Profile'!C12</f>
        <v/>
      </c>
      <c r="D12" s="30">
        <f>'Well Profile'!C13</f>
        <v/>
      </c>
      <c r="E12" s="30">
        <f>D12-C12</f>
        <v/>
      </c>
      <c r="F12" s="20">
        <f>'Well Profile'!E12</f>
        <v/>
      </c>
      <c r="G12" s="20">
        <f>'Well Profile'!E13</f>
        <v/>
      </c>
      <c r="H12" s="20">
        <f>(F12+G12)/2</f>
        <v/>
      </c>
      <c r="I12" s="21">
        <f>IF(C12&lt;'Input Data'!$C$21,"cased","open")</f>
        <v/>
      </c>
      <c r="J12" s="31">
        <f>IF(I12="cased",'Input Data'!$C$38,'Input Data'!$C$39)</f>
        <v/>
      </c>
      <c r="K12" s="32">
        <f>AC12*E12/1000</f>
        <v/>
      </c>
      <c r="L12" s="32">
        <f>K12*'Input Data'!$C$50</f>
        <v/>
      </c>
      <c r="M12" s="32">
        <f>L12*COS(RADIANS(H12))</f>
        <v/>
      </c>
      <c r="N12" s="32">
        <f>SQRT((L12*SIN(RADIANS(H12)))^2 + (Q12*ABS(G12-F12)*PI()/180)^2)</f>
        <v/>
      </c>
      <c r="O12" s="32">
        <f>N12*J12</f>
        <v/>
      </c>
      <c r="P12" s="32">
        <f>O12+P13</f>
        <v/>
      </c>
      <c r="Q12" s="32">
        <f>M12+Q13</f>
        <v/>
      </c>
      <c r="R12" s="32">
        <f>Q12-P12+'Input Data'!$C$43</f>
        <v/>
      </c>
      <c r="S12" s="32">
        <f>Q12+P12+'Input Data'!$C$43</f>
        <v/>
      </c>
      <c r="T12" s="32">
        <f>'Input Data'!$C$45 - Q13 + P13</f>
        <v/>
      </c>
      <c r="U12" s="32">
        <f>IF(H12&lt;1, 1.94*(('Input Data'!$C$52*AE12*('Input Data'!$C$54^2))^(1/3))/('Input Data'!$C$57*1000), 2*SQRT('Input Data'!$C$52*AE12*'Input Data'!$C$54*SIN(RADIANS(H12))/AF12)/('Input Data'!$C$57*1000))</f>
        <v/>
      </c>
      <c r="V12" s="32">
        <f>2*U12</f>
        <v/>
      </c>
      <c r="W12" s="31">
        <f>IFERROR(IF(T12&gt;0,T12/V12,0),0)</f>
        <v/>
      </c>
      <c r="X12" s="20">
        <f>'Input Data'!$C$33+'Input Data'!$C$34*((C12+D12)/2)/100</f>
        <v/>
      </c>
      <c r="Y12" s="21">
        <f>IF(W12&gt;1,"DANGER: Helical Buckling",IF(W12&gt;0.5,"Warning: Sinusoidal Buckling",IF(AO12&lt;1,"DANGER: Fracture (ECD Limit)",IF(AR12&lt;1.15,"DANGER: Casing Collapse",IF(AS12&lt;1.1,"DANGER: Casing Burst",IF(AQ12&lt;1.25,"DANGER: Yield Stress",IF(ROW()=5,IF(S12&gt;'Input Data'!$C$44,"Overpull Limit Exceeded",IF(R12&lt;'Input Data'!$C$43,"Slack-off Required",IF(R12&gt;'Input Data'!$C$42,"Rig Capacity Exceeded","Normal"))),"Normal")))))))</f>
        <v/>
      </c>
      <c r="Z12" s="26">
        <f>LOOKUP((C12+D12)/2, 'Input Data'!$H$5:$H$7, 'Input Data'!$J$5:$J$7)</f>
        <v/>
      </c>
      <c r="AA12" s="26">
        <f>LOOKUP((C12+D12)/2, 'Input Data'!$H$5:$H$7, 'Input Data'!$K$5:$K$7)</f>
        <v/>
      </c>
      <c r="AB12" s="26">
        <f>LOOKUP((C12+D12)/2, 'Input Data'!$H$5:$H$7, 'Input Data'!$M$5:$M$7)</f>
        <v/>
      </c>
      <c r="AC12" s="26">
        <f>LOOKUP((C12+D12)/2, 'Input Data'!$H$5:$H$7, 'Input Data'!$N$5:$N$7)</f>
        <v/>
      </c>
      <c r="AD12" s="26">
        <f>(Z12-AA12)/2</f>
        <v/>
      </c>
      <c r="AE12" s="26">
        <f>PI()/64*((Z12/1000)^4-(AA12/1000)^4)</f>
        <v/>
      </c>
      <c r="AF12" s="26">
        <f>(IF(I12="cased", 'Input Data'!$C$20, 'Input Data'!$C$19)-Z12)/2000</f>
        <v/>
      </c>
      <c r="AG12" s="27">
        <f>1 / ( 1 / (2 * ('Input Data'!$C$14 * 1000) / 0.91 / ((Z12/AD12) * (Z12/AD12 - 1)^2)) + 1 / (2 * AB12 * ((Z12/AD12) - 1) / (Z12/AD12)^2) )</f>
        <v/>
      </c>
      <c r="AH12" s="27">
        <f>0.875 * 2 * AB12 * AD12 / Z12</f>
        <v/>
      </c>
      <c r="AI12" s="27">
        <f>'Input Data'!$C$30 * 'Input Data'!$C$57 * 'Well Profile'!D13 / 1000000</f>
        <v/>
      </c>
      <c r="AJ12" s="28">
        <f>'Input Data'!$C$47 * ( (Z12/1000)^2 / ( (IF(I12="cased",'Input Data'!$C$20,'Input Data'!$C$19)/1000)^2 - (Z12/1000)^2 ) + 0.4 )</f>
        <v/>
      </c>
      <c r="AK12" s="28">
        <f>12 * ('Input Data'!$C$31/1000) * AJ12 / (AF12*2)^2 + 6 * 'Input Data'!$C$32 / (AF12*2)</f>
        <v/>
      </c>
      <c r="AL12" s="27">
        <f>AL11+AK12*E12/1000000</f>
        <v/>
      </c>
      <c r="AM12" s="27">
        <f>AI12+AL12</f>
        <v/>
      </c>
      <c r="AN12" s="28">
        <f>AM12*1000000/('Input Data'!$C$57*'Well Profile'!D13)</f>
        <v/>
      </c>
      <c r="AO12" s="29">
        <f>'Input Data'!$C$58/AN12</f>
        <v/>
      </c>
      <c r="AP12" s="27">
        <f>SQRT(((Q12+P12)*9810/(PI()*(Z12^2-AA12^2)/4))^2 + ('Input Data'!$C$59*Z12/(2*AD12))^2 + (-( 'Input Data'!$C$59 + 2*AI12 ) / 2)^2 - ((Q12+P12)*9810/(PI()*(Z12^2-AA12^2)/4))*('Input Data'!$C$59*Z12/(2*AD12)) - ('Input Data'!$C$59*Z12/(2*AD12))*(-( 'Input Data'!$C$59 + 2*AI12 ) / 2) - (-( 'Input Data'!$C$59 + 2*AI12 ) / 2)*((Q12+P12)*9810/(PI()*(Z12^2-AA12^2)/4)))</f>
        <v/>
      </c>
      <c r="AQ12" s="29">
        <f>AB12/AP12</f>
        <v/>
      </c>
      <c r="AR12" s="29">
        <f>AG12/AI12</f>
        <v/>
      </c>
      <c r="AS12" s="29">
        <f>AH12/30</f>
        <v/>
      </c>
    </row>
    <row r="13" ht="21.75" customHeight="1">
      <c r="B13" s="14" t="n">
        <v>9</v>
      </c>
      <c r="C13" s="23">
        <f>'Well Profile'!C13</f>
        <v/>
      </c>
      <c r="D13" s="23">
        <f>'Well Profile'!C14</f>
        <v/>
      </c>
      <c r="E13" s="23">
        <f>D13-C13</f>
        <v/>
      </c>
      <c r="F13" s="16">
        <f>'Well Profile'!E13</f>
        <v/>
      </c>
      <c r="G13" s="16">
        <f>'Well Profile'!E14</f>
        <v/>
      </c>
      <c r="H13" s="16">
        <f>(F13+G13)/2</f>
        <v/>
      </c>
      <c r="I13" s="17">
        <f>IF(C13&lt;'Input Data'!$C$21,"cased","open")</f>
        <v/>
      </c>
      <c r="J13" s="24">
        <f>IF(I13="cased",'Input Data'!$C$38,'Input Data'!$C$39)</f>
        <v/>
      </c>
      <c r="K13" s="25">
        <f>AC13*E13/1000</f>
        <v/>
      </c>
      <c r="L13" s="25">
        <f>K13*'Input Data'!$C$50</f>
        <v/>
      </c>
      <c r="M13" s="25">
        <f>L13*COS(RADIANS(H13))</f>
        <v/>
      </c>
      <c r="N13" s="25">
        <f>SQRT((L13*SIN(RADIANS(H13)))^2 + (Q13*ABS(G13-F13)*PI()/180)^2)</f>
        <v/>
      </c>
      <c r="O13" s="25">
        <f>N13*J13</f>
        <v/>
      </c>
      <c r="P13" s="25">
        <f>O13+P14</f>
        <v/>
      </c>
      <c r="Q13" s="25">
        <f>M13+Q14</f>
        <v/>
      </c>
      <c r="R13" s="25">
        <f>Q13-P13+'Input Data'!$C$43</f>
        <v/>
      </c>
      <c r="S13" s="25">
        <f>Q13+P13+'Input Data'!$C$43</f>
        <v/>
      </c>
      <c r="T13" s="25">
        <f>'Input Data'!$C$45 - Q14 + P14</f>
        <v/>
      </c>
      <c r="U13" s="25">
        <f>IF(H13&lt;1, 1.94*(('Input Data'!$C$52*AE13*('Input Data'!$C$54^2))^(1/3))/('Input Data'!$C$57*1000), 2*SQRT('Input Data'!$C$52*AE13*'Input Data'!$C$54*SIN(RADIANS(H13))/AF13)/('Input Data'!$C$57*1000))</f>
        <v/>
      </c>
      <c r="V13" s="25">
        <f>2*U13</f>
        <v/>
      </c>
      <c r="W13" s="24">
        <f>IFERROR(IF(T13&gt;0,T13/V13,0),0)</f>
        <v/>
      </c>
      <c r="X13" s="16">
        <f>'Input Data'!$C$33+'Input Data'!$C$34*((C13+D13)/2)/100</f>
        <v/>
      </c>
      <c r="Y13" s="17">
        <f>IF(W13&gt;1,"DANGER: Helical Buckling",IF(W13&gt;0.5,"Warning: Sinusoidal Buckling",IF(AO13&lt;1,"DANGER: Fracture (ECD Limit)",IF(AR13&lt;1.15,"DANGER: Casing Collapse",IF(AS13&lt;1.1,"DANGER: Casing Burst",IF(AQ13&lt;1.25,"DANGER: Yield Stress",IF(ROW()=5,IF(S13&gt;'Input Data'!$C$44,"Overpull Limit Exceeded",IF(R13&lt;'Input Data'!$C$43,"Slack-off Required",IF(R13&gt;'Input Data'!$C$42,"Rig Capacity Exceeded","Normal"))),"Normal")))))))</f>
        <v/>
      </c>
      <c r="Z13" s="26">
        <f>LOOKUP((C13+D13)/2, 'Input Data'!$H$5:$H$7, 'Input Data'!$J$5:$J$7)</f>
        <v/>
      </c>
      <c r="AA13" s="26">
        <f>LOOKUP((C13+D13)/2, 'Input Data'!$H$5:$H$7, 'Input Data'!$K$5:$K$7)</f>
        <v/>
      </c>
      <c r="AB13" s="26">
        <f>LOOKUP((C13+D13)/2, 'Input Data'!$H$5:$H$7, 'Input Data'!$M$5:$M$7)</f>
        <v/>
      </c>
      <c r="AC13" s="26">
        <f>LOOKUP((C13+D13)/2, 'Input Data'!$H$5:$H$7, 'Input Data'!$N$5:$N$7)</f>
        <v/>
      </c>
      <c r="AD13" s="26">
        <f>(Z13-AA13)/2</f>
        <v/>
      </c>
      <c r="AE13" s="26">
        <f>PI()/64*((Z13/1000)^4-(AA13/1000)^4)</f>
        <v/>
      </c>
      <c r="AF13" s="26">
        <f>(IF(I13="cased", 'Input Data'!$C$20, 'Input Data'!$C$19)-Z13)/2000</f>
        <v/>
      </c>
      <c r="AG13" s="27">
        <f>1 / ( 1 / (2 * ('Input Data'!$C$14 * 1000) / 0.91 / ((Z13/AD13) * (Z13/AD13 - 1)^2)) + 1 / (2 * AB13 * ((Z13/AD13) - 1) / (Z13/AD13)^2) )</f>
        <v/>
      </c>
      <c r="AH13" s="27">
        <f>0.875 * 2 * AB13 * AD13 / Z13</f>
        <v/>
      </c>
      <c r="AI13" s="27">
        <f>'Input Data'!$C$30 * 'Input Data'!$C$57 * 'Well Profile'!D14 / 1000000</f>
        <v/>
      </c>
      <c r="AJ13" s="28">
        <f>'Input Data'!$C$47 * ( (Z13/1000)^2 / ( (IF(I13="cased",'Input Data'!$C$20,'Input Data'!$C$19)/1000)^2 - (Z13/1000)^2 ) + 0.4 )</f>
        <v/>
      </c>
      <c r="AK13" s="28">
        <f>12 * ('Input Data'!$C$31/1000) * AJ13 / (AF13*2)^2 + 6 * 'Input Data'!$C$32 / (AF13*2)</f>
        <v/>
      </c>
      <c r="AL13" s="27">
        <f>AL12+AK13*E13/1000000</f>
        <v/>
      </c>
      <c r="AM13" s="27">
        <f>AI13+AL13</f>
        <v/>
      </c>
      <c r="AN13" s="28">
        <f>AM13*1000000/('Input Data'!$C$57*'Well Profile'!D14)</f>
        <v/>
      </c>
      <c r="AO13" s="29">
        <f>'Input Data'!$C$58/AN13</f>
        <v/>
      </c>
      <c r="AP13" s="27">
        <f>SQRT(((Q13+P13)*9810/(PI()*(Z13^2-AA13^2)/4))^2 + ('Input Data'!$C$59*Z13/(2*AD13))^2 + (-( 'Input Data'!$C$59 + 2*AI13 ) / 2)^2 - ((Q13+P13)*9810/(PI()*(Z13^2-AA13^2)/4))*('Input Data'!$C$59*Z13/(2*AD13)) - ('Input Data'!$C$59*Z13/(2*AD13))*(-( 'Input Data'!$C$59 + 2*AI13 ) / 2) - (-( 'Input Data'!$C$59 + 2*AI13 ) / 2)*((Q13+P13)*9810/(PI()*(Z13^2-AA13^2)/4)))</f>
        <v/>
      </c>
      <c r="AQ13" s="29">
        <f>AB13/AP13</f>
        <v/>
      </c>
      <c r="AR13" s="29">
        <f>AG13/AI13</f>
        <v/>
      </c>
      <c r="AS13" s="29">
        <f>AH13/30</f>
        <v/>
      </c>
    </row>
    <row r="14" ht="21.75" customHeight="1">
      <c r="B14" s="18" t="n">
        <v>10</v>
      </c>
      <c r="C14" s="30">
        <f>'Well Profile'!C14</f>
        <v/>
      </c>
      <c r="D14" s="30">
        <f>'Well Profile'!C15</f>
        <v/>
      </c>
      <c r="E14" s="30">
        <f>D14-C14</f>
        <v/>
      </c>
      <c r="F14" s="20">
        <f>'Well Profile'!E14</f>
        <v/>
      </c>
      <c r="G14" s="20">
        <f>'Well Profile'!E15</f>
        <v/>
      </c>
      <c r="H14" s="20">
        <f>(F14+G14)/2</f>
        <v/>
      </c>
      <c r="I14" s="21">
        <f>IF(C14&lt;'Input Data'!$C$21,"cased","open")</f>
        <v/>
      </c>
      <c r="J14" s="31">
        <f>IF(I14="cased",'Input Data'!$C$38,'Input Data'!$C$39)</f>
        <v/>
      </c>
      <c r="K14" s="32">
        <f>AC14*E14/1000</f>
        <v/>
      </c>
      <c r="L14" s="32">
        <f>K14*'Input Data'!$C$50</f>
        <v/>
      </c>
      <c r="M14" s="32">
        <f>L14*COS(RADIANS(H14))</f>
        <v/>
      </c>
      <c r="N14" s="32">
        <f>SQRT((L14*SIN(RADIANS(H14)))^2 + (Q14*ABS(G14-F14)*PI()/180)^2)</f>
        <v/>
      </c>
      <c r="O14" s="32">
        <f>N14*J14</f>
        <v/>
      </c>
      <c r="P14" s="32">
        <f>O14</f>
        <v/>
      </c>
      <c r="Q14" s="32">
        <f>M14</f>
        <v/>
      </c>
      <c r="R14" s="32">
        <f>Q14-P14+'Input Data'!$C$43</f>
        <v/>
      </c>
      <c r="S14" s="32">
        <f>Q14+P14+'Input Data'!$C$43</f>
        <v/>
      </c>
      <c r="T14" s="32">
        <f>'Input Data'!$C$45 - Q15 + P15</f>
        <v/>
      </c>
      <c r="U14" s="32">
        <f>IF(H14&lt;1, 1.94*(('Input Data'!$C$52*AE14*('Input Data'!$C$54^2))^(1/3))/('Input Data'!$C$57*1000), 2*SQRT('Input Data'!$C$52*AE14*'Input Data'!$C$54*SIN(RADIANS(H14))/AF14)/('Input Data'!$C$57*1000))</f>
        <v/>
      </c>
      <c r="V14" s="32">
        <f>2*U14</f>
        <v/>
      </c>
      <c r="W14" s="31">
        <f>IFERROR(IF(T14&gt;0,T14/V14,0),0)</f>
        <v/>
      </c>
      <c r="X14" s="20">
        <f>'Input Data'!$C$33+'Input Data'!$C$34*((C14+D14)/2)/100</f>
        <v/>
      </c>
      <c r="Y14" s="21">
        <f>IF(W14&gt;1,"DANGER: Helical Buckling",IF(W14&gt;0.5,"Warning: Sinusoidal Buckling",IF(AO14&lt;1,"DANGER: Fracture (ECD Limit)",IF(AR14&lt;1.15,"DANGER: Casing Collapse",IF(AS14&lt;1.1,"DANGER: Casing Burst",IF(AQ14&lt;1.25,"DANGER: Yield Stress",IF(ROW()=5,IF(S14&gt;'Input Data'!$C$44,"Overpull Limit Exceeded",IF(R14&lt;'Input Data'!$C$43,"Slack-off Required",IF(R14&gt;'Input Data'!$C$42,"Rig Capacity Exceeded","Normal"))),"Normal")))))))</f>
        <v/>
      </c>
      <c r="Z14" s="26">
        <f>LOOKUP((C14+D14)/2, 'Input Data'!$H$5:$H$7, 'Input Data'!$J$5:$J$7)</f>
        <v/>
      </c>
      <c r="AA14" s="26">
        <f>LOOKUP((C14+D14)/2, 'Input Data'!$H$5:$H$7, 'Input Data'!$K$5:$K$7)</f>
        <v/>
      </c>
      <c r="AB14" s="26">
        <f>LOOKUP((C14+D14)/2, 'Input Data'!$H$5:$H$7, 'Input Data'!$M$5:$M$7)</f>
        <v/>
      </c>
      <c r="AC14" s="26">
        <f>LOOKUP((C14+D14)/2, 'Input Data'!$H$5:$H$7, 'Input Data'!$N$5:$N$7)</f>
        <v/>
      </c>
      <c r="AD14" s="26">
        <f>(Z14-AA14)/2</f>
        <v/>
      </c>
      <c r="AE14" s="26">
        <f>PI()/64*((Z14/1000)^4-(AA14/1000)^4)</f>
        <v/>
      </c>
      <c r="AF14" s="26">
        <f>(IF(I14="cased", 'Input Data'!$C$20, 'Input Data'!$C$19)-Z14)/2000</f>
        <v/>
      </c>
      <c r="AG14" s="27">
        <f>1 / ( 1 / (2 * ('Input Data'!$C$14 * 1000) / 0.91 / ((Z14/AD14) * (Z14/AD14 - 1)^2)) + 1 / (2 * AB14 * ((Z14/AD14) - 1) / (Z14/AD14)^2) )</f>
        <v/>
      </c>
      <c r="AH14" s="27">
        <f>0.875 * 2 * AB14 * AD14 / Z14</f>
        <v/>
      </c>
      <c r="AI14" s="27">
        <f>'Input Data'!$C$30 * 'Input Data'!$C$57 * 'Well Profile'!D15 / 1000000</f>
        <v/>
      </c>
      <c r="AJ14" s="28">
        <f>'Input Data'!$C$47 * ( (Z14/1000)^2 / ( (IF(I14="cased",'Input Data'!$C$20,'Input Data'!$C$19)/1000)^2 - (Z14/1000)^2 ) + 0.4 )</f>
        <v/>
      </c>
      <c r="AK14" s="28">
        <f>12 * ('Input Data'!$C$31/1000) * AJ14 / (AF14*2)^2 + 6 * 'Input Data'!$C$32 / (AF14*2)</f>
        <v/>
      </c>
      <c r="AL14" s="27">
        <f>AL13+AK14*E14/1000000</f>
        <v/>
      </c>
      <c r="AM14" s="27">
        <f>AI14+AL14</f>
        <v/>
      </c>
      <c r="AN14" s="28">
        <f>AM14*1000000/('Input Data'!$C$57*'Well Profile'!D15)</f>
        <v/>
      </c>
      <c r="AO14" s="29">
        <f>'Input Data'!$C$58/AN14</f>
        <v/>
      </c>
      <c r="AP14" s="27">
        <f>SQRT(((Q14+P14)*9810/(PI()*(Z14^2-AA14^2)/4))^2 + ('Input Data'!$C$59*Z14/(2*AD14))^2 + (-( 'Input Data'!$C$59 + 2*AI14 ) / 2)^2 - ((Q14+P14)*9810/(PI()*(Z14^2-AA14^2)/4))*('Input Data'!$C$59*Z14/(2*AD14)) - ('Input Data'!$C$59*Z14/(2*AD14))*(-( 'Input Data'!$C$59 + 2*AI14 ) / 2) - (-( 'Input Data'!$C$59 + 2*AI14 ) / 2)*((Q14+P14)*9810/(PI()*(Z14^2-AA14^2)/4)))</f>
        <v/>
      </c>
      <c r="AQ14" s="29">
        <f>AB14/AP14</f>
        <v/>
      </c>
      <c r="AR14" s="29">
        <f>AG14/AI14</f>
        <v/>
      </c>
      <c r="AS14" s="29">
        <f>AH14/30</f>
        <v/>
      </c>
    </row>
  </sheetData>
  <mergeCells count="2">
    <mergeCell ref="B3:Y3"/>
    <mergeCell ref="B2:Y2"/>
  </mergeCells>
  <conditionalFormatting sqref="W5:W14">
    <cfRule type="cellIs" priority="5" operator="greaterThan" dxfId="0">
      <formula>1</formula>
    </cfRule>
    <cfRule type="cellIs" priority="6" operator="between" dxfId="1">
      <formula>0.5</formula>
      <formula>1</formula>
    </cfRule>
  </conditionalFormatting>
  <conditionalFormatting sqref="Y5:Y14">
    <cfRule type="expression" priority="2" dxfId="0">
      <formula>ISNUMBER(SEARCH("ОПАСНО",Y5))</formula>
    </cfRule>
    <cfRule type="expression" priority="3" dxfId="2">
      <formula>OR(ISNUMBER(SEARCH("Внимание",Y5)),ISNUMBER(SEARCH("Превыш",Y5)),ISNUMBER(SEARCH("Требуется",Y5)))</formula>
    </cfRule>
    <cfRule type="expression" priority="4" dxfId="3">
      <formula>EXACT(Y5,"Норма")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/>
    <row r="2" ht="31.5" customHeight="1">
      <c r="B2" s="1" t="inlineStr">
        <is>
          <t>CHARTS AND VISUALIZATION</t>
        </is>
      </c>
    </row>
    <row r="3">
      <c r="B3" s="33" t="inlineStr">
        <is>
          <t>All charts are plotted using data from the "Calculations" sheet. Updated automatically.</t>
        </is>
      </c>
    </row>
    <row r="4" ht="27.75" customHeight="1">
      <c r="B4" s="3" t="inlineStr">
        <is>
          <t>MD, m</t>
        </is>
      </c>
      <c r="C4" s="3" t="inlineStr">
        <is>
          <t>Rig Capacity, t</t>
        </is>
      </c>
      <c r="D4" s="3" t="inlineStr">
        <is>
          <t>Max Overpull, t</t>
        </is>
      </c>
      <c r="E4" s="3" t="inlineStr">
        <is>
          <t>Max Slack-off, t</t>
        </is>
      </c>
      <c r="F4" s="3" t="inlineStr">
        <is>
          <t>Block Weight, t</t>
        </is>
      </c>
    </row>
    <row r="5" ht="19.5" customHeight="1">
      <c r="B5" s="23">
        <f>Calculations!C5</f>
        <v/>
      </c>
      <c r="C5" s="15">
        <f>'Input Data'!$C$42</f>
        <v/>
      </c>
      <c r="D5" s="15">
        <f>'Input Data'!$C$44</f>
        <v/>
      </c>
      <c r="E5" s="15">
        <f>'Input Data'!$C$45</f>
        <v/>
      </c>
      <c r="F5" s="15">
        <f>'Input Data'!$C$43</f>
        <v/>
      </c>
    </row>
    <row r="6" ht="19.5" customHeight="1">
      <c r="B6" s="30">
        <f>Calculations!C6</f>
        <v/>
      </c>
      <c r="C6" s="19">
        <f>'Input Data'!$C$42</f>
        <v/>
      </c>
      <c r="D6" s="19">
        <f>'Input Data'!$C$44</f>
        <v/>
      </c>
      <c r="E6" s="19">
        <f>'Input Data'!$C$45</f>
        <v/>
      </c>
      <c r="F6" s="19">
        <f>'Input Data'!$C$43</f>
        <v/>
      </c>
    </row>
    <row r="7" ht="19.5" customHeight="1">
      <c r="B7" s="23">
        <f>Calculations!C7</f>
        <v/>
      </c>
      <c r="C7" s="15">
        <f>'Input Data'!$C$42</f>
        <v/>
      </c>
      <c r="D7" s="15">
        <f>'Input Data'!$C$44</f>
        <v/>
      </c>
      <c r="E7" s="15">
        <f>'Input Data'!$C$45</f>
        <v/>
      </c>
      <c r="F7" s="15">
        <f>'Input Data'!$C$43</f>
        <v/>
      </c>
    </row>
    <row r="8" ht="19.5" customHeight="1">
      <c r="B8" s="30">
        <f>Calculations!C8</f>
        <v/>
      </c>
      <c r="C8" s="19">
        <f>'Input Data'!$C$42</f>
        <v/>
      </c>
      <c r="D8" s="19">
        <f>'Input Data'!$C$44</f>
        <v/>
      </c>
      <c r="E8" s="19">
        <f>'Input Data'!$C$45</f>
        <v/>
      </c>
      <c r="F8" s="19">
        <f>'Input Data'!$C$43</f>
        <v/>
      </c>
    </row>
    <row r="9" ht="19.5" customHeight="1">
      <c r="B9" s="23">
        <f>Calculations!C9</f>
        <v/>
      </c>
      <c r="C9" s="15">
        <f>'Input Data'!$C$42</f>
        <v/>
      </c>
      <c r="D9" s="15">
        <f>'Input Data'!$C$44</f>
        <v/>
      </c>
      <c r="E9" s="15">
        <f>'Input Data'!$C$45</f>
        <v/>
      </c>
      <c r="F9" s="15">
        <f>'Input Data'!$C$43</f>
        <v/>
      </c>
    </row>
    <row r="10" ht="19.5" customHeight="1">
      <c r="B10" s="30">
        <f>Calculations!C10</f>
        <v/>
      </c>
      <c r="C10" s="19">
        <f>'Input Data'!$C$42</f>
        <v/>
      </c>
      <c r="D10" s="19">
        <f>'Input Data'!$C$44</f>
        <v/>
      </c>
      <c r="E10" s="19">
        <f>'Input Data'!$C$45</f>
        <v/>
      </c>
      <c r="F10" s="19">
        <f>'Input Data'!$C$43</f>
        <v/>
      </c>
    </row>
    <row r="11" ht="19.5" customHeight="1">
      <c r="B11" s="23">
        <f>Calculations!C11</f>
        <v/>
      </c>
      <c r="C11" s="15">
        <f>'Input Data'!$C$42</f>
        <v/>
      </c>
      <c r="D11" s="15">
        <f>'Input Data'!$C$44</f>
        <v/>
      </c>
      <c r="E11" s="15">
        <f>'Input Data'!$C$45</f>
        <v/>
      </c>
      <c r="F11" s="15">
        <f>'Input Data'!$C$43</f>
        <v/>
      </c>
    </row>
    <row r="12" ht="19.5" customHeight="1">
      <c r="B12" s="30">
        <f>Calculations!C12</f>
        <v/>
      </c>
      <c r="C12" s="19">
        <f>'Input Data'!$C$42</f>
        <v/>
      </c>
      <c r="D12" s="19">
        <f>'Input Data'!$C$44</f>
        <v/>
      </c>
      <c r="E12" s="19">
        <f>'Input Data'!$C$45</f>
        <v/>
      </c>
      <c r="F12" s="19">
        <f>'Input Data'!$C$43</f>
        <v/>
      </c>
    </row>
    <row r="13" ht="19.5" customHeight="1">
      <c r="B13" s="23">
        <f>Calculations!C13</f>
        <v/>
      </c>
      <c r="C13" s="15">
        <f>'Input Data'!$C$42</f>
        <v/>
      </c>
      <c r="D13" s="15">
        <f>'Input Data'!$C$44</f>
        <v/>
      </c>
      <c r="E13" s="15">
        <f>'Input Data'!$C$45</f>
        <v/>
      </c>
      <c r="F13" s="15">
        <f>'Input Data'!$C$43</f>
        <v/>
      </c>
    </row>
    <row r="14" ht="19.5" customHeight="1">
      <c r="B14" s="30">
        <f>Calculations!C14</f>
        <v/>
      </c>
      <c r="C14" s="19">
        <f>'Input Data'!$C$42</f>
        <v/>
      </c>
      <c r="D14" s="19">
        <f>'Input Data'!$C$44</f>
        <v/>
      </c>
      <c r="E14" s="19">
        <f>'Input Data'!$C$45</f>
        <v/>
      </c>
      <c r="F14" s="19">
        <f>'Input Data'!$C$43</f>
        <v/>
      </c>
    </row>
  </sheetData>
  <mergeCells count="2">
    <mergeCell ref="B3:Y3"/>
    <mergeCell ref="B2:Y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5" customWidth="1" min="3" max="3"/>
    <col width="10" customWidth="1" min="4" max="4"/>
    <col width="30" customWidth="1" min="5" max="5"/>
    <col width="35" customWidth="1" min="6" max="6"/>
  </cols>
  <sheetData>
    <row r="1"/>
    <row r="2" ht="30" customHeight="1">
      <c r="B2" s="34" t="inlineStr">
        <is>
          <t>SUMMARY AND CASING RUNNING RECOMMENDATIONS</t>
        </is>
      </c>
    </row>
    <row r="3" ht="7.5" customHeight="1"/>
    <row r="4" ht="24" customHeight="1">
      <c r="B4" s="35" t="inlineStr">
        <is>
          <t>1. Key Performance Indicators and Casing Integrity (KPI)</t>
        </is>
      </c>
    </row>
    <row r="5" ht="20" customHeight="1">
      <c r="B5" s="36" t="inlineStr">
        <is>
          <t>KPI Parameter</t>
        </is>
      </c>
      <c r="C5" s="36" t="inlineStr">
        <is>
          <t>Value</t>
        </is>
      </c>
      <c r="D5" s="36" t="inlineStr">
        <is>
          <t>Unit</t>
        </is>
      </c>
      <c r="E5" s="36" t="inlineStr">
        <is>
          <t>Margin / Constraint</t>
        </is>
      </c>
      <c r="F5" s="36" t="inlineStr">
        <is>
          <t>Safety Status</t>
        </is>
      </c>
    </row>
    <row r="6" ht="19" customHeight="1">
      <c r="B6" s="37" t="inlineStr">
        <is>
          <t>Maximum Tension Load (POOH)</t>
        </is>
      </c>
      <c r="C6" s="38">
        <f>MAX(Calculations!S5:S14)</f>
        <v/>
      </c>
      <c r="D6" s="39" t="inlineStr">
        <is>
          <t>t</t>
        </is>
      </c>
      <c r="E6" s="39">
        <f>"Limit: " &amp; 'Input Data'!$C$44 &amp; " t"</f>
        <v/>
      </c>
      <c r="F6" s="40">
        <f>IF(C6&gt;'Input Data'!$C$44, "CRITICAL RISK", IF(C6&gt;'Input Data'!$C$42/'Input Data'!$C$46, "Warning: close to limit", "Normal"))</f>
        <v/>
      </c>
    </row>
    <row r="7" ht="19" customHeight="1">
      <c r="B7" s="37" t="inlineStr">
        <is>
          <t>Minimum Running Hook Load (RIH)</t>
        </is>
      </c>
      <c r="C7" s="38">
        <f>MIN(Calculations!R5:R14)</f>
        <v/>
      </c>
      <c r="D7" s="39" t="inlineStr">
        <is>
          <t>t</t>
        </is>
      </c>
      <c r="E7" s="39">
        <f>"Block weight: " &amp; 'Input Data'!$C$43 &amp; " t"</f>
        <v/>
      </c>
      <c r="F7" s="40">
        <f>IF(C7&lt;'Input Data'!$C$43, "Weight transfer to hole bottom", "Normal")</f>
        <v/>
      </c>
    </row>
    <row r="8" ht="19" customHeight="1">
      <c r="B8" s="37" t="inlineStr">
        <is>
          <t>Maximum Buckling Factor</t>
        </is>
      </c>
      <c r="C8" s="41">
        <f>MAX(Calculations!W5:W14)</f>
        <v/>
      </c>
      <c r="D8" s="39" t="inlineStr">
        <is>
          <t>—</t>
        </is>
      </c>
      <c r="E8" s="39" t="inlineStr">
        <is>
          <t>Предел: 1.00</t>
        </is>
      </c>
      <c r="F8" s="40">
        <f>IF(C8&gt;1, "CRITICAL RISK: Helical Buckling", IF(C8&gt;0.5, "Warning: Sinusoidal Buckling", "Normal"))</f>
        <v/>
      </c>
    </row>
    <row r="9" ht="19" customHeight="1">
      <c r="B9" s="37" t="inlineStr">
        <is>
          <t>Maximum Equivalent Circulating Density (ECD)</t>
        </is>
      </c>
      <c r="C9" s="42">
        <f>MAX(Calculations!AN5:AN14)</f>
        <v/>
      </c>
      <c r="D9" s="39" t="inlineStr">
        <is>
          <t>kg/m³</t>
        </is>
      </c>
      <c r="E9" s="39">
        <f>"Losses limit: " &amp; 'Input Data'!$C$58 &amp; " кг/м³"</f>
        <v/>
      </c>
      <c r="F9" s="40">
        <f>IF(C9&gt;'Input Data'!$C$58, "CRITICAL RISK: Mud Losses", "Normal")</f>
        <v/>
      </c>
    </row>
    <row r="10" ht="19" customHeight="1">
      <c r="B10" s="37" t="inlineStr">
        <is>
          <t>Minimum ECD Safety Factor</t>
        </is>
      </c>
      <c r="C10" s="41">
        <f>MIN(Calculations!AO5:AO14)</f>
        <v/>
      </c>
      <c r="D10" s="39" t="inlineStr">
        <is>
          <t>—</t>
        </is>
      </c>
      <c r="E10" s="39" t="inlineStr">
        <is>
          <t>Норматив: 1.05</t>
        </is>
      </c>
      <c r="F10" s="40">
        <f>IF(C10&lt;1, "EMERGENCY: Mud Losses", IF(C10&lt;1.05, "Warning: losses risk", "Normal"))</f>
        <v/>
      </c>
    </row>
    <row r="11" ht="19" customHeight="1">
      <c r="B11" s="37" t="inlineStr">
        <is>
          <t>Minimum Collapse Safety Factor</t>
        </is>
      </c>
      <c r="C11" s="41">
        <f>MIN(Calculations!AR5:AR14)</f>
        <v/>
      </c>
      <c r="D11" s="39" t="inlineStr">
        <is>
          <t>—</t>
        </is>
      </c>
      <c r="E11" s="39" t="inlineStr">
        <is>
          <t>Normative: 1.15</t>
        </is>
      </c>
      <c r="F11" s="40">
        <f>IF(C11&lt;1, "EMERGENCY: Collapse Risk", IF(C11&lt;1.15, "Warning: low safety factor", "Normal"))</f>
        <v/>
      </c>
    </row>
    <row r="12" ht="19" customHeight="1">
      <c r="B12" s="37" t="inlineStr">
        <is>
          <t>Minimum Burst Safety Factor</t>
        </is>
      </c>
      <c r="C12" s="41">
        <f>MIN(Calculations!AS5:AS14)</f>
        <v/>
      </c>
      <c r="D12" s="39" t="inlineStr">
        <is>
          <t>—</t>
        </is>
      </c>
      <c r="E12" s="39" t="inlineStr">
        <is>
          <t>Normative: 1.10</t>
        </is>
      </c>
      <c r="F12" s="40">
        <f>IF(C12&lt;1, "EMERGENCY: Burst Risk", IF(C12&lt;1.1, "Warning: low safety factor", "Normal"))</f>
        <v/>
      </c>
    </row>
    <row r="13" ht="19" customHeight="1">
      <c r="B13" s="37" t="inlineStr">
        <is>
          <t>Minimum von Mises Safety Factor</t>
        </is>
      </c>
      <c r="C13" s="41">
        <f>MIN(Calculations!AQ5:AQ14)</f>
        <v/>
      </c>
      <c r="D13" s="39" t="inlineStr">
        <is>
          <t>—</t>
        </is>
      </c>
      <c r="E13" s="39" t="inlineStr">
        <is>
          <t>Normative: 1.25</t>
        </is>
      </c>
      <c r="F13" s="40">
        <f>IF(C13&lt;1, "EMERGENCY: Casing Yielding", IF(C13&lt;1.25, "Warning: low safety factor", "Normal"))</f>
        <v/>
      </c>
    </row>
    <row r="14" ht="19" customHeight="1">
      <c r="B14" s="37" t="inlineStr">
        <is>
          <t>Maximum Surge Pressure</t>
        </is>
      </c>
      <c r="C14" s="41">
        <f>MAX(Calculations!AL5:AL14)</f>
        <v/>
      </c>
      <c r="D14" s="39" t="inlineStr">
        <is>
          <t>MPa</t>
        </is>
      </c>
      <c r="E14" s="39" t="inlineStr">
        <is>
          <t>Reference</t>
        </is>
      </c>
      <c r="F14" s="40">
        <f>""</f>
        <v/>
      </c>
    </row>
    <row r="15" ht="19" customHeight="1">
      <c r="B15" s="37" t="inlineStr">
        <is>
          <t>Maximum Wellbore Temperature</t>
        </is>
      </c>
      <c r="C15" s="43">
        <f>MAX(Calculations!X5:X14)</f>
        <v/>
      </c>
      <c r="D15" s="39" t="inlineStr">
        <is>
          <t>°C</t>
        </is>
      </c>
      <c r="E15" s="39" t="inlineStr">
        <is>
          <t>Fluid limit: 120 °C</t>
        </is>
      </c>
      <c r="F15" s="40">
        <f>IF(C15&gt;120, "Внимание: деструкция раствора", "Normal")</f>
        <v/>
      </c>
    </row>
    <row r="16" ht="19" customHeight="1">
      <c r="B16" s="37" t="inlineStr">
        <is>
          <t>Number of Hazardous Intervals</t>
        </is>
      </c>
      <c r="C16" s="44" t="n"/>
      <c r="D16" s="44" t="n"/>
      <c r="E16" s="45" t="n"/>
      <c r="F16" s="40">
        <f>IF(C16&gt;0, "Warning: mitigation required", "Normal")</f>
        <v/>
      </c>
    </row>
    <row r="17" ht="27.75" customHeight="1"/>
    <row r="18" ht="24" customHeight="1">
      <c r="B18" s="35" t="inlineStr">
        <is>
          <t>2. Identified Hazardous Intervals (Requiring Action)</t>
        </is>
      </c>
    </row>
    <row r="19" ht="20" customHeight="1">
      <c r="B19" s="36" t="inlineStr">
        <is>
          <t>No.</t>
        </is>
      </c>
      <c r="C19" s="36" t="inlineStr">
        <is>
          <t>Depth Interval MD, m</t>
        </is>
      </c>
      <c r="D19" s="36" t="inlineStr">
        <is>
          <t>Hole Type</t>
        </is>
      </c>
      <c r="E19" s="36" t="inlineStr">
        <is>
          <t>Hazard Type / Status</t>
        </is>
      </c>
      <c r="F19" s="36" t="inlineStr">
        <is>
          <t>Engineering Indicator</t>
        </is>
      </c>
    </row>
    <row r="20" ht="19" customHeight="1">
      <c r="B20" s="46">
        <f>IF(Calculations!Y5&lt;&gt;"Normal",Calculations!B5,"")</f>
        <v/>
      </c>
      <c r="C20" s="46">
        <f>IF(Calculations!Y5&lt;&gt;"Normal",Calculations!C5&amp;" - "&amp;Calculations!D5,"")</f>
        <v/>
      </c>
      <c r="D20" s="46">
        <f>IF(Calculations!Y5&lt;&gt;"Normal",IF(Calculations!I5="cased","Cased","Open"),"")</f>
        <v/>
      </c>
      <c r="E20" s="46">
        <f>IF(Calculations!Y5&lt;&gt;"Normal",Calculations!Y5,"")</f>
        <v/>
      </c>
      <c r="F20" s="46">
        <f>IF(Calculations!Y5&lt;&gt;"Normal",IF(Calculations!W5&gt;0.5,TEXT(Calculations!W5,"0.00")&amp;" (buckling)",IF(Calculations!AO5&lt;1.05,TEXT(Calculations!AN5,"0")&amp;" kg/m³ (ECD)",IF(Calculations!AR5&lt;1.15,TEXT(Calculations!AR5,"0.00")&amp;" (SF_collapse)",IF(Calculations!AS5&lt;1.1,TEXT(Calculations!AS5,"0.00")&amp;" (SF_burst)",IF(Calculations!AQ5&lt;1.25,TEXT(Calculations!AQ5,"0.00")&amp;" (SF_strength)",TEXT(Calculations!S5,"0")&amp;" t (load)"))))),"")</f>
        <v/>
      </c>
    </row>
    <row r="21" ht="19" customHeight="1">
      <c r="B21" s="46">
        <f>IF(Calculations!Y6&lt;&gt;"Normal",Calculations!B6,"")</f>
        <v/>
      </c>
      <c r="C21" s="46">
        <f>IF(Calculations!Y6&lt;&gt;"Normal",Calculations!C6&amp;" - "&amp;Calculations!D6,"")</f>
        <v/>
      </c>
      <c r="D21" s="46">
        <f>IF(Calculations!Y6&lt;&gt;"Normal",IF(Calculations!I6="cased","Cased","Open"),"")</f>
        <v/>
      </c>
      <c r="E21" s="46">
        <f>IF(Calculations!Y6&lt;&gt;"Normal",Calculations!Y6,"")</f>
        <v/>
      </c>
      <c r="F21" s="46">
        <f>IF(Calculations!Y6&lt;&gt;"Normal",IF(Calculations!W6&gt;0.5,TEXT(Calculations!W6,"0.00")&amp;" (buckling)",IF(Calculations!AO6&lt;1.05,TEXT(Calculations!AN6,"0")&amp;" kg/m³ (ECD)",IF(Calculations!AR6&lt;1.15,TEXT(Calculations!AR6,"0.00")&amp;" (SF_collapse)",IF(Calculations!AS6&lt;1.1,TEXT(Calculations!AS6,"0.00")&amp;" (SF_burst)",IF(Calculations!AQ6&lt;1.25,TEXT(Calculations!AQ6,"0.00")&amp;" (SF_strength)",TEXT(Calculations!S6,"0")&amp;" t (load)"))))),"")</f>
        <v/>
      </c>
    </row>
    <row r="22" ht="19" customHeight="1">
      <c r="B22" s="46">
        <f>IF(Calculations!Y7&lt;&gt;"Normal",Calculations!B7,"")</f>
        <v/>
      </c>
      <c r="C22" s="46">
        <f>IF(Calculations!Y7&lt;&gt;"Normal",Calculations!C7&amp;" - "&amp;Calculations!D7,"")</f>
        <v/>
      </c>
      <c r="D22" s="46">
        <f>IF(Calculations!Y7&lt;&gt;"Normal",IF(Calculations!I7="cased","Cased","Open"),"")</f>
        <v/>
      </c>
      <c r="E22" s="46">
        <f>IF(Calculations!Y7&lt;&gt;"Normal",Calculations!Y7,"")</f>
        <v/>
      </c>
      <c r="F22" s="46">
        <f>IF(Calculations!Y7&lt;&gt;"Normal",IF(Calculations!W7&gt;0.5,TEXT(Calculations!W7,"0.00")&amp;" (buckling)",IF(Calculations!AO7&lt;1.05,TEXT(Calculations!AN7,"0")&amp;" kg/m³ (ECD)",IF(Calculations!AR7&lt;1.15,TEXT(Calculations!AR7,"0.00")&amp;" (SF_collapse)",IF(Calculations!AS7&lt;1.1,TEXT(Calculations!AS7,"0.00")&amp;" (SF_burst)",IF(Calculations!AQ7&lt;1.25,TEXT(Calculations!AQ7,"0.00")&amp;" (SF_strength)",TEXT(Calculations!S7,"0")&amp;" t (load)"))))),"")</f>
        <v/>
      </c>
    </row>
    <row r="23" ht="19" customHeight="1">
      <c r="B23" s="46">
        <f>IF(Calculations!Y8&lt;&gt;"Normal",Calculations!B8,"")</f>
        <v/>
      </c>
      <c r="C23" s="46">
        <f>IF(Calculations!Y8&lt;&gt;"Normal",Calculations!C8&amp;" - "&amp;Calculations!D8,"")</f>
        <v/>
      </c>
      <c r="D23" s="46">
        <f>IF(Calculations!Y8&lt;&gt;"Normal",IF(Calculations!I8="cased","Cased","Open"),"")</f>
        <v/>
      </c>
      <c r="E23" s="46">
        <f>IF(Calculations!Y8&lt;&gt;"Normal",Calculations!Y8,"")</f>
        <v/>
      </c>
      <c r="F23" s="46">
        <f>IF(Calculations!Y8&lt;&gt;"Normal",IF(Calculations!W8&gt;0.5,TEXT(Calculations!W8,"0.00")&amp;" (buckling)",IF(Calculations!AO8&lt;1.05,TEXT(Calculations!AN8,"0")&amp;" kg/m³ (ECD)",IF(Calculations!AR8&lt;1.15,TEXT(Calculations!AR8,"0.00")&amp;" (SF_collapse)",IF(Calculations!AS8&lt;1.1,TEXT(Calculations!AS8,"0.00")&amp;" (SF_burst)",IF(Calculations!AQ8&lt;1.25,TEXT(Calculations!AQ8,"0.00")&amp;" (SF_strength)",TEXT(Calculations!S8,"0")&amp;" t (load)"))))),"")</f>
        <v/>
      </c>
    </row>
    <row r="24" ht="19" customHeight="1">
      <c r="B24" s="46">
        <f>IF(Calculations!Y9&lt;&gt;"Normal",Calculations!B9,"")</f>
        <v/>
      </c>
      <c r="C24" s="46">
        <f>IF(Calculations!Y9&lt;&gt;"Normal",Calculations!C9&amp;" - "&amp;Calculations!D9,"")</f>
        <v/>
      </c>
      <c r="D24" s="46">
        <f>IF(Calculations!Y9&lt;&gt;"Normal",IF(Calculations!I9="cased","Cased","Open"),"")</f>
        <v/>
      </c>
      <c r="E24" s="46">
        <f>IF(Calculations!Y9&lt;&gt;"Normal",Calculations!Y9,"")</f>
        <v/>
      </c>
      <c r="F24" s="46">
        <f>IF(Calculations!Y9&lt;&gt;"Normal",IF(Calculations!W9&gt;0.5,TEXT(Calculations!W9,"0.00")&amp;" (buckling)",IF(Calculations!AO9&lt;1.05,TEXT(Calculations!AN9,"0")&amp;" kg/m³ (ECD)",IF(Calculations!AR9&lt;1.15,TEXT(Calculations!AR9,"0.00")&amp;" (SF_collapse)",IF(Calculations!AS9&lt;1.1,TEXT(Calculations!AS9,"0.00")&amp;" (SF_burst)",IF(Calculations!AQ9&lt;1.25,TEXT(Calculations!AQ9,"0.00")&amp;" (SF_strength)",TEXT(Calculations!S9,"0")&amp;" t (load)"))))),"")</f>
        <v/>
      </c>
    </row>
    <row r="25" ht="19" customHeight="1">
      <c r="B25" s="46">
        <f>IF(Calculations!Y10&lt;&gt;"Normal",Calculations!B10,"")</f>
        <v/>
      </c>
      <c r="C25" s="46">
        <f>IF(Calculations!Y10&lt;&gt;"Normal",Calculations!C10&amp;" - "&amp;Calculations!D10,"")</f>
        <v/>
      </c>
      <c r="D25" s="46">
        <f>IF(Calculations!Y10&lt;&gt;"Normal",IF(Calculations!I10="cased","Cased","Open"),"")</f>
        <v/>
      </c>
      <c r="E25" s="46">
        <f>IF(Calculations!Y10&lt;&gt;"Normal",Calculations!Y10,"")</f>
        <v/>
      </c>
      <c r="F25" s="46">
        <f>IF(Calculations!Y10&lt;&gt;"Normal",IF(Calculations!W10&gt;0.5,TEXT(Calculations!W10,"0.00")&amp;" (buckling)",IF(Calculations!AO10&lt;1.05,TEXT(Calculations!AN10,"0")&amp;" kg/m³ (ECD)",IF(Calculations!AR10&lt;1.15,TEXT(Calculations!AR10,"0.00")&amp;" (SF_collapse)",IF(Calculations!AS10&lt;1.1,TEXT(Calculations!AS10,"0.00")&amp;" (SF_burst)",IF(Calculations!AQ10&lt;1.25,TEXT(Calculations!AQ10,"0.00")&amp;" (SF_strength)",TEXT(Calculations!S10,"0")&amp;" t (load)"))))),"")</f>
        <v/>
      </c>
    </row>
    <row r="26" ht="19" customHeight="1">
      <c r="B26" s="46">
        <f>IF(Calculations!Y11&lt;&gt;"Normal",Calculations!B11,"")</f>
        <v/>
      </c>
      <c r="C26" s="46">
        <f>IF(Calculations!Y11&lt;&gt;"Normal",Calculations!C11&amp;" - "&amp;Calculations!D11,"")</f>
        <v/>
      </c>
      <c r="D26" s="46">
        <f>IF(Calculations!Y11&lt;&gt;"Normal",IF(Calculations!I11="cased","Cased","Open"),"")</f>
        <v/>
      </c>
      <c r="E26" s="46">
        <f>IF(Calculations!Y11&lt;&gt;"Normal",Calculations!Y11,"")</f>
        <v/>
      </c>
      <c r="F26" s="46">
        <f>IF(Calculations!Y11&lt;&gt;"Normal",IF(Calculations!W11&gt;0.5,TEXT(Calculations!W11,"0.00")&amp;" (buckling)",IF(Calculations!AO11&lt;1.05,TEXT(Calculations!AN11,"0")&amp;" kg/m³ (ECD)",IF(Calculations!AR11&lt;1.15,TEXT(Calculations!AR11,"0.00")&amp;" (SF_collapse)",IF(Calculations!AS11&lt;1.1,TEXT(Calculations!AS11,"0.00")&amp;" (SF_burst)",IF(Calculations!AQ11&lt;1.25,TEXT(Calculations!AQ11,"0.00")&amp;" (SF_strength)",TEXT(Calculations!S11,"0")&amp;" t (load)"))))),"")</f>
        <v/>
      </c>
    </row>
    <row r="27" ht="19" customHeight="1">
      <c r="B27" s="46">
        <f>IF(Calculations!Y12&lt;&gt;"Normal",Calculations!B12,"")</f>
        <v/>
      </c>
      <c r="C27" s="46">
        <f>IF(Calculations!Y12&lt;&gt;"Normal",Calculations!C12&amp;" - "&amp;Calculations!D12,"")</f>
        <v/>
      </c>
      <c r="D27" s="46">
        <f>IF(Calculations!Y12&lt;&gt;"Normal",IF(Calculations!I12="cased","Cased","Open"),"")</f>
        <v/>
      </c>
      <c r="E27" s="46">
        <f>IF(Calculations!Y12&lt;&gt;"Normal",Calculations!Y12,"")</f>
        <v/>
      </c>
      <c r="F27" s="46">
        <f>IF(Calculations!Y12&lt;&gt;"Normal",IF(Calculations!W12&gt;0.5,TEXT(Calculations!W12,"0.00")&amp;" (buckling)",IF(Calculations!AO12&lt;1.05,TEXT(Calculations!AN12,"0")&amp;" kg/m³ (ECD)",IF(Calculations!AR12&lt;1.15,TEXT(Calculations!AR12,"0.00")&amp;" (SF_collapse)",IF(Calculations!AS12&lt;1.1,TEXT(Calculations!AS12,"0.00")&amp;" (SF_burst)",IF(Calculations!AQ12&lt;1.25,TEXT(Calculations!AQ12,"0.00")&amp;" (SF_strength)",TEXT(Calculations!S12,"0")&amp;" t (load)"))))),"")</f>
        <v/>
      </c>
    </row>
    <row r="28" ht="19" customHeight="1">
      <c r="B28" s="46">
        <f>IF(Calculations!Y13&lt;&gt;"Normal",Calculations!B13,"")</f>
        <v/>
      </c>
      <c r="C28" s="46">
        <f>IF(Calculations!Y13&lt;&gt;"Normal",Calculations!C13&amp;" - "&amp;Calculations!D13,"")</f>
        <v/>
      </c>
      <c r="D28" s="46">
        <f>IF(Calculations!Y13&lt;&gt;"Normal",IF(Calculations!I13="cased","Cased","Open"),"")</f>
        <v/>
      </c>
      <c r="E28" s="46">
        <f>IF(Calculations!Y13&lt;&gt;"Normal",Calculations!Y13,"")</f>
        <v/>
      </c>
      <c r="F28" s="46">
        <f>IF(Calculations!Y13&lt;&gt;"Normal",IF(Calculations!W13&gt;0.5,TEXT(Calculations!W13,"0.00")&amp;" (buckling)",IF(Calculations!AO13&lt;1.05,TEXT(Calculations!AN13,"0")&amp;" kg/m³ (ECD)",IF(Calculations!AR13&lt;1.15,TEXT(Calculations!AR13,"0.00")&amp;" (SF_collapse)",IF(Calculations!AS13&lt;1.1,TEXT(Calculations!AS13,"0.00")&amp;" (SF_burst)",IF(Calculations!AQ13&lt;1.25,TEXT(Calculations!AQ13,"0.00")&amp;" (SF_strength)",TEXT(Calculations!S13,"0")&amp;" t (load)"))))),"")</f>
        <v/>
      </c>
    </row>
    <row r="29" ht="19" customHeight="1">
      <c r="B29" s="46">
        <f>IF(Calculations!Y14&lt;&gt;"Normal",Calculations!B14,"")</f>
        <v/>
      </c>
      <c r="C29" s="46">
        <f>IF(Calculations!Y14&lt;&gt;"Normal",Calculations!C14&amp;" - "&amp;Calculations!D14,"")</f>
        <v/>
      </c>
      <c r="D29" s="46">
        <f>IF(Calculations!Y14&lt;&gt;"Normal",IF(Calculations!I14="cased","Cased","Open"),"")</f>
        <v/>
      </c>
      <c r="E29" s="46">
        <f>IF(Calculations!Y14&lt;&gt;"Normal",Calculations!Y14,"")</f>
        <v/>
      </c>
      <c r="F29" s="46">
        <f>IF(Calculations!Y14&lt;&gt;"Normal",IF(Calculations!W14&gt;0.5,TEXT(Calculations!W14,"0.00")&amp;" (buckling)",IF(Calculations!AO14&lt;1.05,TEXT(Calculations!AN14,"0")&amp;" kg/m³ (ECD)",IF(Calculations!AR14&lt;1.15,TEXT(Calculations!AR14,"0.00")&amp;" (SF_collapse)",IF(Calculations!AS14&lt;1.1,TEXT(Calculations!AS14,"0.00")&amp;" (SF_burst)",IF(Calculations!AQ14&lt;1.25,TEXT(Calculations!AQ14,"0.00")&amp;" (SF_strength)",TEXT(Calculations!S14,"0")&amp;" t (load)"))))),"")</f>
        <v/>
      </c>
    </row>
    <row r="30" ht="24" customHeight="1">
      <c r="B30" s="47" t="n"/>
    </row>
    <row r="31" ht="24" customHeight="1">
      <c r="B31" s="35" t="inlineStr">
        <is>
          <t>3. Casing Running Engineering Recommendations</t>
        </is>
      </c>
    </row>
    <row r="32" ht="26" customHeight="1">
      <c r="B32" s="48" t="inlineStr">
        <is>
          <t>• Drilling Fluid: Monitor density and rheology. If ECD exceeds 1550 kg/m³, reduce casing running speed.</t>
        </is>
      </c>
      <c r="C32" s="49" t="n"/>
      <c r="D32" s="44" t="n"/>
      <c r="E32" s="45" t="n"/>
      <c r="F32" s="49" t="n"/>
    </row>
    <row r="33" ht="26" customHeight="1">
      <c r="B33" s="48" t="inlineStr">
        <is>
          <t>• Running Speed: Maintain in safe limits (≤ 0.5 m/s) to prevent hydraulic fracture and mud losses.</t>
        </is>
      </c>
      <c r="C33" s="49" t="n"/>
      <c r="D33" s="44" t="n"/>
      <c r="E33" s="45" t="n"/>
      <c r="F33" s="49" t="n"/>
    </row>
    <row r="34" ht="26" customHeight="1">
      <c r="B34" s="48" t="inlineStr">
        <is>
          <t>• Buckling Mitigation: Install casing centralizers in KOP/build sections (600-1050 m) and TD sections (3000-3450 m) to reduce drag and prevent lock-up.</t>
        </is>
      </c>
      <c r="C34" s="44" t="n"/>
      <c r="D34" s="44" t="n"/>
      <c r="E34" s="44" t="n"/>
      <c r="F34" s="45" t="n"/>
    </row>
    <row r="35" ht="26" customHeight="1">
      <c r="B35" s="48" t="inlineStr">
        <is>
          <t>• Casing Integrity (Collapse/Burst): Collapse is critical at TD (SF_collapse = 1.05 at 180 t slack-off). Do not exceed allowed compressive loads during slack-off.</t>
        </is>
      </c>
      <c r="C35" s="49" t="n"/>
      <c r="D35" s="44" t="n"/>
      <c r="E35" s="45" t="n"/>
      <c r="F35" s="49" t="n"/>
    </row>
    <row r="36" ht="26" customHeight="1">
      <c r="B36" s="48" t="inlineStr">
        <is>
          <t>• von Mises Stress: At 30 MPa casing pressure test, the strength safety factor is 2.34 (safe). Do not exceed 40 MPa during test.</t>
        </is>
      </c>
      <c r="C36" s="49" t="n"/>
      <c r="D36" s="44" t="n"/>
      <c r="E36" s="45" t="n"/>
      <c r="F36" s="49" t="n"/>
    </row>
    <row r="37" ht="26" customHeight="1">
      <c r="B37" s="48" t="inlineStr">
        <is>
          <t>• Hook Load Monitoring: If overpull exceeds 200 t (limit), stop casing run, work the pipe, and circulate mud.</t>
        </is>
      </c>
      <c r="C37" s="49" t="n"/>
      <c r="D37" s="44" t="n"/>
      <c r="E37" s="45" t="n"/>
      <c r="F37" s="49" t="n"/>
    </row>
    <row r="38" ht="21.75" customHeight="1">
      <c r="C38" s="47" t="n"/>
    </row>
    <row r="39" ht="21.75" customHeight="1">
      <c r="C39" s="47" t="n"/>
    </row>
    <row r="40" ht="21.75" customHeight="1">
      <c r="C40" s="47" t="n"/>
    </row>
    <row r="41" ht="21.75" customHeight="1">
      <c r="C41" s="47" t="n"/>
    </row>
    <row r="42" ht="21.75" customHeight="1">
      <c r="C42" s="47" t="n"/>
    </row>
    <row r="43" ht="21.75" customHeight="1">
      <c r="C43" s="47" t="n"/>
    </row>
    <row r="44" ht="21.75" customHeight="1">
      <c r="C44" s="47" t="n"/>
    </row>
    <row r="45" ht="21.75" customHeight="1">
      <c r="C45" s="47" t="n"/>
    </row>
    <row r="46"/>
    <row r="47"/>
    <row r="48" ht="24" customHeight="1">
      <c r="B48" s="47" t="n"/>
    </row>
    <row r="49" ht="31.5" customHeight="1">
      <c r="B49" s="47" t="n"/>
    </row>
    <row r="50" ht="31.5" customHeight="1">
      <c r="B50" s="47" t="n"/>
    </row>
    <row r="51" ht="31.5" customHeight="1">
      <c r="B51" s="47" t="n"/>
    </row>
    <row r="52" ht="31.5" customHeight="1">
      <c r="B52" s="47" t="n"/>
    </row>
    <row r="53" ht="31.5" customHeight="1">
      <c r="B53" s="47" t="n"/>
    </row>
    <row r="54" ht="31.5" customHeight="1">
      <c r="B54" s="47" t="n"/>
    </row>
    <row r="55" ht="31.5" customHeight="1">
      <c r="B55" s="47" t="n"/>
    </row>
    <row r="56" ht="31.5" customHeight="1">
      <c r="B56" s="47" t="n"/>
    </row>
    <row r="57" ht="31.5" customHeight="1">
      <c r="B57" s="47" t="n"/>
    </row>
    <row r="58" ht="31.5" customHeight="1">
      <c r="B58" s="47" t="n"/>
    </row>
  </sheetData>
  <mergeCells count="31">
    <mergeCell ref="B4:F4"/>
    <mergeCell ref="C44:E44"/>
    <mergeCell ref="C41:E41"/>
    <mergeCell ref="B49:E49"/>
    <mergeCell ref="B30:E30"/>
    <mergeCell ref="C40:E40"/>
    <mergeCell ref="B55:E55"/>
    <mergeCell ref="B31:F31"/>
    <mergeCell ref="B51:E51"/>
    <mergeCell ref="C43:E43"/>
    <mergeCell ref="B18:F18"/>
    <mergeCell ref="C36:E36"/>
    <mergeCell ref="B50:E50"/>
    <mergeCell ref="B2:F2"/>
    <mergeCell ref="C39:E39"/>
    <mergeCell ref="B54:E54"/>
    <mergeCell ref="B16:E16"/>
    <mergeCell ref="C32:E32"/>
    <mergeCell ref="C38:E38"/>
    <mergeCell ref="B56:E56"/>
    <mergeCell ref="C37:E37"/>
    <mergeCell ref="B34:F34"/>
    <mergeCell ref="B58:E58"/>
    <mergeCell ref="B52:E52"/>
    <mergeCell ref="B48:E48"/>
    <mergeCell ref="C42:E42"/>
    <mergeCell ref="C33:E33"/>
    <mergeCell ref="B57:E57"/>
    <mergeCell ref="B53:E53"/>
    <mergeCell ref="C45:E45"/>
    <mergeCell ref="C35:E35"/>
  </mergeCells>
  <conditionalFormatting sqref="E20:E29">
    <cfRule type="expression" priority="4" dxfId="4" stopIfTrue="1">
      <formula>OR(NOT(ISERR(SEARCH("АВАРИЙНО",E20))), NOT(ISERR(SEARCH("КРИТИЧЕСКИЙ",E20))), NOT(ISERR(SEARCH("ОПАСНО",E20))))</formula>
    </cfRule>
    <cfRule type="expression" priority="5" dxfId="5" stopIfTrue="1">
      <formula>OR(NOT(ISERR(SEARCH("Внимание",E20))), NOT(ISERR(SEARCH("Разгрузка",E20))))</formula>
    </cfRule>
    <cfRule type="expression" priority="6" dxfId="6" stopIfTrue="1">
      <formula>OR(NOT(ISERR(SEARCH("В норме",E20))), NOT(ISERR(SEARCH("Норма",E20))))</formula>
    </cfRule>
  </conditionalFormatting>
  <conditionalFormatting sqref="F6:F16">
    <cfRule type="expression" priority="1" dxfId="4" stopIfTrue="1">
      <formula>OR(NOT(ISERR(SEARCH("АВАРИЙНО",F6))), NOT(ISERR(SEARCH("КРИТИЧЕСКИЙ",F6))), NOT(ISERR(SEARCH("ОПАСНО",F6))))</formula>
    </cfRule>
    <cfRule type="expression" priority="2" dxfId="5" stopIfTrue="1">
      <formula>OR(NOT(ISERR(SEARCH("Внимание",F6))), NOT(ISERR(SEARCH("Разгрузка",F6))))</formula>
    </cfRule>
    <cfRule type="expression" priority="3" dxfId="6" stopIfTrue="1">
      <formula>NOT(ISERR(SEARCH("В норме",F6)))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2026-07-01T14:28:53Z</dcterms:created>
  <dcterms:modified xsi:type="dcterms:W3CDTF">2026-07-01T14:28:53Z</dcterms:modified>
</cp:coreProperties>
</file>