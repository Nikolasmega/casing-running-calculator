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9"/>
  <workbookPr/>
  <mc:AlternateContent xmlns:mc="http://schemas.openxmlformats.org/markup-compatibility/2006">
    <mc:Choice Requires="x15">
      <x15ac:absPath xmlns:x15ac="http://schemas.microsoft.com/office/spreadsheetml/2010/11/ac" url="/Users/niko/Documents/Личное/AI/Antigravity/Калькулятор/"/>
    </mc:Choice>
  </mc:AlternateContent>
  <xr:revisionPtr revIDLastSave="0" documentId="8_{CA1916F3-66E8-864E-923E-F23B57B83D9F}" xr6:coauthVersionLast="47" xr6:coauthVersionMax="47" xr10:uidLastSave="{00000000-0000-0000-0000-000000000000}"/>
  <bookViews>
    <workbookView xWindow="980" yWindow="660" windowWidth="29260" windowHeight="18980" tabRatio="500" xr2:uid="{00000000-000D-0000-FFFF-FFFF00000000}"/>
  </bookViews>
  <sheets>
    <sheet name="Входные данные" sheetId="1" r:id="rId1"/>
    <sheet name="Профиль ствола" sheetId="2" r:id="rId2"/>
    <sheet name="Расчёт" sheetId="3" r:id="rId3"/>
    <sheet name="Графики" sheetId="4" r:id="rId4"/>
    <sheet name="Сводка" sheetId="5" r:id="rId5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  <c r="AI14" i="3"/>
  <c r="T14" i="3"/>
  <c r="G14" i="3"/>
  <c r="F14" i="3"/>
  <c r="H14" i="3" s="1"/>
  <c r="D14" i="3"/>
  <c r="E14" i="3" s="1"/>
  <c r="C14" i="3"/>
  <c r="AI13" i="3"/>
  <c r="G13" i="3"/>
  <c r="F13" i="3"/>
  <c r="H13" i="3" s="1"/>
  <c r="D13" i="3"/>
  <c r="E13" i="3" s="1"/>
  <c r="C13" i="3"/>
  <c r="AI12" i="3"/>
  <c r="G12" i="3"/>
  <c r="F12" i="3"/>
  <c r="H12" i="3" s="1"/>
  <c r="D12" i="3"/>
  <c r="E12" i="3" s="1"/>
  <c r="C12" i="3"/>
  <c r="AI11" i="3"/>
  <c r="G11" i="3"/>
  <c r="F11" i="3"/>
  <c r="H11" i="3" s="1"/>
  <c r="D11" i="3"/>
  <c r="E11" i="3" s="1"/>
  <c r="C11" i="3"/>
  <c r="AI10" i="3"/>
  <c r="G10" i="3"/>
  <c r="F10" i="3"/>
  <c r="H10" i="3" s="1"/>
  <c r="D10" i="3"/>
  <c r="E10" i="3" s="1"/>
  <c r="C10" i="3"/>
  <c r="AI9" i="3"/>
  <c r="G9" i="3"/>
  <c r="F9" i="3"/>
  <c r="H9" i="3" s="1"/>
  <c r="D9" i="3"/>
  <c r="E9" i="3" s="1"/>
  <c r="C9" i="3"/>
  <c r="AI8" i="3"/>
  <c r="H8" i="3"/>
  <c r="G8" i="3"/>
  <c r="F8" i="3"/>
  <c r="E8" i="3"/>
  <c r="D8" i="3"/>
  <c r="C8" i="3"/>
  <c r="AI7" i="3"/>
  <c r="G7" i="3"/>
  <c r="F7" i="3"/>
  <c r="H7" i="3" s="1"/>
  <c r="D7" i="3"/>
  <c r="E7" i="3" s="1"/>
  <c r="C7" i="3"/>
  <c r="AI6" i="3"/>
  <c r="G6" i="3"/>
  <c r="F6" i="3"/>
  <c r="H6" i="3" s="1"/>
  <c r="E6" i="3"/>
  <c r="D6" i="3"/>
  <c r="C6" i="3"/>
  <c r="AI5" i="3"/>
  <c r="G5" i="3"/>
  <c r="F5" i="3"/>
  <c r="H5" i="3" s="1"/>
  <c r="D5" i="3"/>
  <c r="E5" i="3" s="1"/>
  <c r="C5" i="3"/>
  <c r="H15" i="2"/>
  <c r="H14" i="2"/>
  <c r="H13" i="2"/>
  <c r="H12" i="2"/>
  <c r="H11" i="2"/>
  <c r="H10" i="2"/>
  <c r="H9" i="2"/>
  <c r="H8" i="2"/>
  <c r="H7" i="2"/>
  <c r="H6" i="2"/>
  <c r="C56" i="1"/>
  <c r="C55" i="1"/>
  <c r="C54" i="1"/>
  <c r="C53" i="1"/>
  <c r="C52" i="1"/>
  <c r="C50" i="1"/>
  <c r="C51" i="1" s="1"/>
  <c r="C35" i="1"/>
  <c r="C16" i="1"/>
  <c r="C9" i="1"/>
  <c r="N5" i="1"/>
  <c r="M5" i="1"/>
  <c r="L5" i="1"/>
  <c r="K5" i="1"/>
  <c r="J5" i="1"/>
  <c r="I5" i="1"/>
  <c r="F14" i="5"/>
  <c r="E9" i="5"/>
  <c r="E7" i="5"/>
  <c r="E6" i="5"/>
  <c r="B14" i="4" l="1"/>
  <c r="I14" i="3"/>
  <c r="X14" i="3"/>
  <c r="Z14" i="3"/>
  <c r="AA14" i="3"/>
  <c r="AB14" i="3"/>
  <c r="AC14" i="3"/>
  <c r="K14" i="3" s="1"/>
  <c r="L14" i="3" s="1"/>
  <c r="AA13" i="3"/>
  <c r="AC13" i="3"/>
  <c r="K13" i="3" s="1"/>
  <c r="L13" i="3" s="1"/>
  <c r="B13" i="4"/>
  <c r="X13" i="3"/>
  <c r="Z13" i="3"/>
  <c r="AB13" i="3"/>
  <c r="I13" i="3"/>
  <c r="B12" i="4"/>
  <c r="AA12" i="3"/>
  <c r="Z12" i="3"/>
  <c r="AB12" i="3"/>
  <c r="AC12" i="3"/>
  <c r="K12" i="3" s="1"/>
  <c r="L12" i="3" s="1"/>
  <c r="X12" i="3"/>
  <c r="I12" i="3"/>
  <c r="X11" i="3"/>
  <c r="AA11" i="3"/>
  <c r="AC11" i="3"/>
  <c r="K11" i="3" s="1"/>
  <c r="L11" i="3" s="1"/>
  <c r="I11" i="3"/>
  <c r="B11" i="4"/>
  <c r="Z11" i="3"/>
  <c r="AB11" i="3"/>
  <c r="AB10" i="3"/>
  <c r="I10" i="3"/>
  <c r="Z10" i="3"/>
  <c r="X10" i="3"/>
  <c r="B10" i="4"/>
  <c r="AA10" i="3"/>
  <c r="AC10" i="3"/>
  <c r="K10" i="3" s="1"/>
  <c r="L10" i="3" s="1"/>
  <c r="B9" i="4"/>
  <c r="I9" i="3"/>
  <c r="X9" i="3"/>
  <c r="Z9" i="3"/>
  <c r="AB9" i="3"/>
  <c r="AC9" i="3"/>
  <c r="K9" i="3" s="1"/>
  <c r="L9" i="3" s="1"/>
  <c r="AA9" i="3"/>
  <c r="AA8" i="3"/>
  <c r="Z8" i="3"/>
  <c r="B8" i="4"/>
  <c r="AC8" i="3"/>
  <c r="K8" i="3" s="1"/>
  <c r="L8" i="3" s="1"/>
  <c r="AB8" i="3"/>
  <c r="X8" i="3"/>
  <c r="I8" i="3"/>
  <c r="I7" i="3"/>
  <c r="AC7" i="3"/>
  <c r="K7" i="3" s="1"/>
  <c r="L7" i="3" s="1"/>
  <c r="AB7" i="3"/>
  <c r="B7" i="4"/>
  <c r="AA7" i="3"/>
  <c r="Z7" i="3"/>
  <c r="X7" i="3"/>
  <c r="AB6" i="3"/>
  <c r="AC6" i="3"/>
  <c r="K6" i="3" s="1"/>
  <c r="L6" i="3" s="1"/>
  <c r="Z6" i="3"/>
  <c r="X6" i="3"/>
  <c r="I6" i="3"/>
  <c r="B6" i="4"/>
  <c r="AA6" i="3"/>
  <c r="B5" i="4"/>
  <c r="Z5" i="3"/>
  <c r="AC5" i="3"/>
  <c r="K5" i="3" s="1"/>
  <c r="L5" i="3" s="1"/>
  <c r="AA5" i="3"/>
  <c r="X5" i="3"/>
  <c r="AB5" i="3"/>
  <c r="I5" i="3"/>
  <c r="J14" i="3" l="1"/>
  <c r="AF14" i="3"/>
  <c r="AD14" i="3"/>
  <c r="AE14" i="3"/>
  <c r="AG14" i="3"/>
  <c r="AR14" i="3" s="1"/>
  <c r="AJ14" i="3"/>
  <c r="AH14" i="3"/>
  <c r="AS14" i="3" s="1"/>
  <c r="M14" i="3"/>
  <c r="Q14" i="3" s="1"/>
  <c r="N14" i="3"/>
  <c r="M13" i="3"/>
  <c r="AD13" i="3"/>
  <c r="AE13" i="3"/>
  <c r="AG13" i="3"/>
  <c r="AR13" i="3" s="1"/>
  <c r="AJ13" i="3"/>
  <c r="AK13" i="3" s="1"/>
  <c r="AH13" i="3"/>
  <c r="AS13" i="3" s="1"/>
  <c r="J13" i="3"/>
  <c r="AF13" i="3"/>
  <c r="AD12" i="3"/>
  <c r="AE12" i="3"/>
  <c r="AJ12" i="3"/>
  <c r="AG12" i="3"/>
  <c r="AR12" i="3" s="1"/>
  <c r="AH12" i="3"/>
  <c r="AS12" i="3" s="1"/>
  <c r="M12" i="3"/>
  <c r="AF12" i="3"/>
  <c r="J12" i="3"/>
  <c r="M11" i="3"/>
  <c r="AF11" i="3"/>
  <c r="J11" i="3"/>
  <c r="AJ11" i="3"/>
  <c r="AK11" i="3" s="1"/>
  <c r="AD11" i="3"/>
  <c r="AG11" i="3" s="1"/>
  <c r="AR11" i="3" s="1"/>
  <c r="AE11" i="3"/>
  <c r="U11" i="3" s="1"/>
  <c r="V11" i="3" s="1"/>
  <c r="AH11" i="3"/>
  <c r="AS11" i="3" s="1"/>
  <c r="AF10" i="3"/>
  <c r="J10" i="3"/>
  <c r="AD10" i="3"/>
  <c r="AE10" i="3"/>
  <c r="U10" i="3" s="1"/>
  <c r="V10" i="3" s="1"/>
  <c r="AJ10" i="3"/>
  <c r="AK10" i="3" s="1"/>
  <c r="M10" i="3"/>
  <c r="AF9" i="3"/>
  <c r="J9" i="3"/>
  <c r="AD9" i="3"/>
  <c r="AE9" i="3"/>
  <c r="U9" i="3" s="1"/>
  <c r="V9" i="3" s="1"/>
  <c r="AG9" i="3"/>
  <c r="AR9" i="3" s="1"/>
  <c r="AJ9" i="3"/>
  <c r="AK9" i="3" s="1"/>
  <c r="AH9" i="3"/>
  <c r="AS9" i="3" s="1"/>
  <c r="M9" i="3"/>
  <c r="AD8" i="3"/>
  <c r="AG8" i="3"/>
  <c r="AR8" i="3" s="1"/>
  <c r="AJ8" i="3"/>
  <c r="AK8" i="3" s="1"/>
  <c r="AE8" i="3"/>
  <c r="M8" i="3"/>
  <c r="AH8" i="3"/>
  <c r="AS8" i="3" s="1"/>
  <c r="AF8" i="3"/>
  <c r="J8" i="3"/>
  <c r="AF7" i="3"/>
  <c r="J7" i="3"/>
  <c r="M7" i="3"/>
  <c r="AD7" i="3"/>
  <c r="AE7" i="3"/>
  <c r="AJ7" i="3"/>
  <c r="M6" i="3"/>
  <c r="AE6" i="3"/>
  <c r="U6" i="3" s="1"/>
  <c r="V6" i="3" s="1"/>
  <c r="AJ6" i="3"/>
  <c r="AD6" i="3"/>
  <c r="AF6" i="3"/>
  <c r="J6" i="3"/>
  <c r="AD5" i="3"/>
  <c r="AG5" i="3"/>
  <c r="AR5" i="3" s="1"/>
  <c r="AJ5" i="3"/>
  <c r="AE5" i="3"/>
  <c r="U5" i="3" s="1"/>
  <c r="V5" i="3" s="1"/>
  <c r="M5" i="3"/>
  <c r="AH5" i="3"/>
  <c r="AS5" i="3" s="1"/>
  <c r="AF5" i="3"/>
  <c r="J5" i="3"/>
  <c r="C15" i="5"/>
  <c r="F15" i="5" s="1"/>
  <c r="Q13" i="3" l="1"/>
  <c r="U13" i="3"/>
  <c r="V13" i="3" s="1"/>
  <c r="U12" i="3"/>
  <c r="V12" i="3" s="1"/>
  <c r="AK12" i="3"/>
  <c r="U8" i="3"/>
  <c r="V8" i="3" s="1"/>
  <c r="U7" i="3"/>
  <c r="V7" i="3" s="1"/>
  <c r="AK7" i="3"/>
  <c r="AK6" i="3"/>
  <c r="AK5" i="3"/>
  <c r="AL5" i="3" s="1"/>
  <c r="O14" i="3"/>
  <c r="P14" i="3" s="1"/>
  <c r="U14" i="3"/>
  <c r="V14" i="3" s="1"/>
  <c r="W14" i="3" s="1"/>
  <c r="Y14" i="3" s="1"/>
  <c r="AK14" i="3"/>
  <c r="AH10" i="3"/>
  <c r="AS10" i="3" s="1"/>
  <c r="AG10" i="3"/>
  <c r="AR10" i="3" s="1"/>
  <c r="AH7" i="3"/>
  <c r="AS7" i="3" s="1"/>
  <c r="AG7" i="3"/>
  <c r="AR7" i="3" s="1"/>
  <c r="AH6" i="3"/>
  <c r="AS6" i="3" s="1"/>
  <c r="AG6" i="3"/>
  <c r="AR6" i="3" s="1"/>
  <c r="R13" i="3" l="1"/>
  <c r="T12" i="3"/>
  <c r="W12" i="3" s="1"/>
  <c r="Y12" i="3" s="1"/>
  <c r="Q12" i="3"/>
  <c r="N13" i="3"/>
  <c r="O13" i="3" s="1"/>
  <c r="P13" i="3" s="1"/>
  <c r="AL6" i="3"/>
  <c r="AM5" i="3"/>
  <c r="AN5" i="3" s="1"/>
  <c r="B29" i="5"/>
  <c r="D29" i="5"/>
  <c r="F29" i="5"/>
  <c r="C29" i="5"/>
  <c r="E29" i="5"/>
  <c r="C12" i="5"/>
  <c r="F12" i="5" s="1"/>
  <c r="C11" i="5"/>
  <c r="F11" i="5" s="1"/>
  <c r="R14" i="3"/>
  <c r="S14" i="3"/>
  <c r="T13" i="3"/>
  <c r="W13" i="3" s="1"/>
  <c r="Y13" i="3" s="1"/>
  <c r="AP14" i="3"/>
  <c r="AQ14" i="3" s="1"/>
  <c r="B27" i="5" l="1"/>
  <c r="E27" i="5"/>
  <c r="D27" i="5"/>
  <c r="C27" i="5"/>
  <c r="F27" i="5"/>
  <c r="Q11" i="3"/>
  <c r="N12" i="3"/>
  <c r="O12" i="3" s="1"/>
  <c r="P12" i="3" s="1"/>
  <c r="AM6" i="3"/>
  <c r="AN6" i="3" s="1"/>
  <c r="AL7" i="3"/>
  <c r="AO5" i="3"/>
  <c r="E28" i="5"/>
  <c r="C28" i="5"/>
  <c r="F28" i="5"/>
  <c r="D28" i="5"/>
  <c r="B28" i="5"/>
  <c r="AP13" i="3"/>
  <c r="AQ13" i="3" s="1"/>
  <c r="S13" i="3"/>
  <c r="R11" i="3" l="1"/>
  <c r="T10" i="3"/>
  <c r="W10" i="3" s="1"/>
  <c r="Y10" i="3" s="1"/>
  <c r="AP11" i="3"/>
  <c r="AQ11" i="3" s="1"/>
  <c r="S11" i="3"/>
  <c r="Q10" i="3"/>
  <c r="N11" i="3"/>
  <c r="O11" i="3" s="1"/>
  <c r="P11" i="3" s="1"/>
  <c r="AM7" i="3"/>
  <c r="AN7" i="3" s="1"/>
  <c r="AO7" i="3" s="1"/>
  <c r="AL8" i="3"/>
  <c r="AP12" i="3"/>
  <c r="AQ12" i="3" s="1"/>
  <c r="R12" i="3"/>
  <c r="T11" i="3"/>
  <c r="W11" i="3" s="1"/>
  <c r="Y11" i="3" s="1"/>
  <c r="S12" i="3"/>
  <c r="AO6" i="3"/>
  <c r="E25" i="5" l="1"/>
  <c r="C25" i="5"/>
  <c r="B25" i="5"/>
  <c r="D25" i="5"/>
  <c r="F25" i="5"/>
  <c r="T9" i="3"/>
  <c r="W9" i="3" s="1"/>
  <c r="Y9" i="3" s="1"/>
  <c r="AP10" i="3"/>
  <c r="AQ10" i="3" s="1"/>
  <c r="S10" i="3"/>
  <c r="R10" i="3"/>
  <c r="N10" i="3"/>
  <c r="O10" i="3" s="1"/>
  <c r="P10" i="3" s="1"/>
  <c r="Q9" i="3"/>
  <c r="AM8" i="3"/>
  <c r="AN8" i="3" s="1"/>
  <c r="AL9" i="3"/>
  <c r="F26" i="5"/>
  <c r="B26" i="5"/>
  <c r="D26" i="5"/>
  <c r="E26" i="5"/>
  <c r="C26" i="5"/>
  <c r="C24" i="5" l="1"/>
  <c r="E24" i="5"/>
  <c r="B24" i="5"/>
  <c r="D24" i="5"/>
  <c r="F24" i="5"/>
  <c r="N9" i="3"/>
  <c r="O9" i="3" s="1"/>
  <c r="P9" i="3" s="1"/>
  <c r="Q8" i="3"/>
  <c r="AO8" i="3"/>
  <c r="AM9" i="3"/>
  <c r="AN9" i="3" s="1"/>
  <c r="AL10" i="3"/>
  <c r="S8" i="3" l="1"/>
  <c r="T7" i="3"/>
  <c r="W7" i="3" s="1"/>
  <c r="Y7" i="3" s="1"/>
  <c r="AP8" i="3"/>
  <c r="AQ8" i="3" s="1"/>
  <c r="Q7" i="3"/>
  <c r="N8" i="3"/>
  <c r="O8" i="3" s="1"/>
  <c r="P8" i="3" s="1"/>
  <c r="R8" i="3" s="1"/>
  <c r="AM10" i="3"/>
  <c r="AN10" i="3" s="1"/>
  <c r="AO10" i="3" s="1"/>
  <c r="AL11" i="3"/>
  <c r="AP9" i="3"/>
  <c r="AQ9" i="3" s="1"/>
  <c r="T8" i="3"/>
  <c r="W8" i="3" s="1"/>
  <c r="Y8" i="3" s="1"/>
  <c r="S9" i="3"/>
  <c r="R9" i="3"/>
  <c r="AO9" i="3"/>
  <c r="C22" i="5" l="1"/>
  <c r="F22" i="5"/>
  <c r="D22" i="5"/>
  <c r="B22" i="5"/>
  <c r="E22" i="5"/>
  <c r="Q6" i="3"/>
  <c r="N7" i="3"/>
  <c r="O7" i="3" s="1"/>
  <c r="P7" i="3" s="1"/>
  <c r="AM11" i="3"/>
  <c r="AN11" i="3" s="1"/>
  <c r="AO11" i="3" s="1"/>
  <c r="AL12" i="3"/>
  <c r="C23" i="5"/>
  <c r="F23" i="5"/>
  <c r="D23" i="5"/>
  <c r="E23" i="5"/>
  <c r="B23" i="5"/>
  <c r="Q5" i="3" l="1"/>
  <c r="N6" i="3"/>
  <c r="O6" i="3" s="1"/>
  <c r="P6" i="3" s="1"/>
  <c r="AM12" i="3"/>
  <c r="AN12" i="3" s="1"/>
  <c r="AO12" i="3" s="1"/>
  <c r="AL13" i="3"/>
  <c r="AP7" i="3"/>
  <c r="AQ7" i="3" s="1"/>
  <c r="T6" i="3"/>
  <c r="W6" i="3" s="1"/>
  <c r="Y6" i="3" s="1"/>
  <c r="R7" i="3"/>
  <c r="S7" i="3"/>
  <c r="N5" i="3" l="1"/>
  <c r="O5" i="3" s="1"/>
  <c r="P5" i="3" s="1"/>
  <c r="AM13" i="3"/>
  <c r="AN13" i="3" s="1"/>
  <c r="AO13" i="3" s="1"/>
  <c r="AL14" i="3"/>
  <c r="E21" i="5"/>
  <c r="C21" i="5"/>
  <c r="D21" i="5"/>
  <c r="F21" i="5"/>
  <c r="B21" i="5"/>
  <c r="AP6" i="3"/>
  <c r="AQ6" i="3" s="1"/>
  <c r="R6" i="3"/>
  <c r="T5" i="3"/>
  <c r="W5" i="3" s="1"/>
  <c r="S6" i="3"/>
  <c r="Y5" i="3" l="1"/>
  <c r="C8" i="5"/>
  <c r="F8" i="5" s="1"/>
  <c r="R5" i="3"/>
  <c r="C7" i="5" s="1"/>
  <c r="F7" i="5" s="1"/>
  <c r="S5" i="3"/>
  <c r="C6" i="5" s="1"/>
  <c r="F6" i="5" s="1"/>
  <c r="AP5" i="3"/>
  <c r="AQ5" i="3" s="1"/>
  <c r="C13" i="5" s="1"/>
  <c r="F13" i="5" s="1"/>
  <c r="AM14" i="3"/>
  <c r="AN14" i="3" s="1"/>
  <c r="C14" i="5"/>
  <c r="D20" i="5" l="1"/>
  <c r="F20" i="5"/>
  <c r="C20" i="5"/>
  <c r="E20" i="5"/>
  <c r="C16" i="5"/>
  <c r="F16" i="5" s="1"/>
  <c r="B20" i="5"/>
  <c r="AO14" i="3"/>
  <c r="C10" i="5" s="1"/>
  <c r="F10" i="5" s="1"/>
  <c r="C9" i="5"/>
  <c r="F9" i="5" s="1"/>
</calcChain>
</file>

<file path=xl/sharedStrings.xml><?xml version="1.0" encoding="utf-8"?>
<sst xmlns="http://schemas.openxmlformats.org/spreadsheetml/2006/main" count="270" uniqueCount="221">
  <si>
    <t>СВОДКА И РЕКОМЕНДАЦИИ ПО СПУСКУ КОЛОННЫ</t>
  </si>
  <si>
    <t>1. Ключевые показатели эффективности и прочности (KPI)</t>
  </si>
  <si>
    <t>Показатель</t>
  </si>
  <si>
    <t>Значение</t>
  </si>
  <si>
    <t>Ед. изм.</t>
  </si>
  <si>
    <t>Запас / Ограничение</t>
  </si>
  <si>
    <t>Статус безопасности</t>
  </si>
  <si>
    <t>Максимальная нагрузка при подъеме (Overpull)</t>
  </si>
  <si>
    <t>т</t>
  </si>
  <si>
    <t>Минимальная нагрузка при спуске (Slack-off)</t>
  </si>
  <si>
    <t>Максимальный коэффициент изгиба (Buckling)</t>
  </si>
  <si>
    <t>—</t>
  </si>
  <si>
    <t>Предел: 1.00</t>
  </si>
  <si>
    <t>Максимальная эквивалентная плотность (ECD)</t>
  </si>
  <si>
    <t>кг/м³</t>
  </si>
  <si>
    <t>Минимальный коэффициент запаса по ECD</t>
  </si>
  <si>
    <t>Норматив: 1.05</t>
  </si>
  <si>
    <t>Минимальный запас прочности по смятию (Collapse)</t>
  </si>
  <si>
    <t>Норматив: 1.15</t>
  </si>
  <si>
    <t>Минимальный запас прочности по разрыву (Burst)</t>
  </si>
  <si>
    <t>Норматив: 1.10</t>
  </si>
  <si>
    <t>Минимальный запас по фон Мизесу (VM Stress)</t>
  </si>
  <si>
    <t>Норматив: 1.25</t>
  </si>
  <si>
    <t>Максимальное давление поршневания (Surge)</t>
  </si>
  <si>
    <t>МПа</t>
  </si>
  <si>
    <t>Справочно</t>
  </si>
  <si>
    <t>Максимальная температура в стволе</t>
  </si>
  <si>
    <t>°C</t>
  </si>
  <si>
    <t>Предел раствора: 120 °C</t>
  </si>
  <si>
    <t>Количество осложненных интервалов скважины</t>
  </si>
  <si>
    <t>шт.</t>
  </si>
  <si>
    <t>Целевое значение: 0</t>
  </si>
  <si>
    <t>2. Выявленные осложненные интервалы (требуют внимания)</t>
  </si>
  <si>
    <t>№</t>
  </si>
  <si>
    <t>Интервал глубин MD, м</t>
  </si>
  <si>
    <t>Тип ствола</t>
  </si>
  <si>
    <t>Характер угрозы / Статус</t>
  </si>
  <si>
    <t>Инженерный показатель</t>
  </si>
  <si>
    <t>3. Инженерно-технологические рекомендации по спуску</t>
  </si>
  <si>
    <t>• Буровой раствор: Контролировать плотность и реологию. При повышении ECD выше 1550 кг/м³ снизить скорость спуска.</t>
  </si>
  <si>
    <t>• Скорость спуска: Поддерживать в безопасных пределах (≤ 0.5 м/с) для исключения гидроразрыва и поглощений раствора.</t>
  </si>
  <si>
    <t>• Риск изгиба (Buckling): В интервалах набора кривизны (600-1050 м) и на забое (3000-3450 м) установить централизаторы для снижения трения и предотвращения спирального заклинивания.</t>
  </si>
  <si>
    <t>• Прочность колонны (Collapse/Burst): Смятие критично на забое (SF_смятие = 1.05 при разгрузке 180 т). При разгрузке инструмента не превышать допустимые осевые усилия.</t>
  </si>
  <si>
    <t>• Напряжения по фон Мизесу: При давлении опрессовки 30 МПа коэффициент прочности равен 2.34 (безопасно). Не допускать превышения опрессовки свыше 40 МПа.</t>
  </si>
  <si>
    <t>• Мониторинг веса на крюке: При превышении затяжек свыше 200 т (лимит) — остановить спуск, расхаживать и промывать скважину.</t>
  </si>
  <si>
    <t>КАЛЬКУЛЯТОР СПУСКА ОБСАДНЫХ КОЛОНН — ВХОДНЫЕ ДАННЫЕ</t>
  </si>
  <si>
    <t>Жёлтые ячейки — для ввода данных. Остальные рассчитываются автоматически.</t>
  </si>
  <si>
    <t>Параметр</t>
  </si>
  <si>
    <t>Примечание</t>
  </si>
  <si>
    <t>Секция №</t>
  </si>
  <si>
    <t>Top MD, м</t>
  </si>
  <si>
    <t>Bottom MD, м</t>
  </si>
  <si>
    <t>OD, мм</t>
  </si>
  <si>
    <t>ID, мм</t>
  </si>
  <si>
    <t>Сталь</t>
  </si>
  <si>
    <t>Yp, МПа</t>
  </si>
  <si>
    <t>Вес, кг/м</t>
  </si>
  <si>
    <t>1. Скважина и обсадная колонна</t>
  </si>
  <si>
    <t>Глубина скважины (TD)</t>
  </si>
  <si>
    <t>м</t>
  </si>
  <si>
    <t>Проектная глубина</t>
  </si>
  <si>
    <t>Наружный диаметр обсадной трубы (OD)</t>
  </si>
  <si>
    <t>мм</t>
  </si>
  <si>
    <t>Напр. 9-5/8" = 244.5 мм</t>
  </si>
  <si>
    <t>Внутренний диаметр обсадной трубы (ID)</t>
  </si>
  <si>
    <t>С учётом толщины стенки</t>
  </si>
  <si>
    <t>Толщина стенки</t>
  </si>
  <si>
    <t>Расчётная</t>
  </si>
  <si>
    <t>Вес 1 погонного метра колонны</t>
  </si>
  <si>
    <t>кг/м</t>
  </si>
  <si>
    <t>Справочное значение</t>
  </si>
  <si>
    <t>Глубина спуска башмака обсадной колонны</t>
  </si>
  <si>
    <t>Обычно ≤ TD</t>
  </si>
  <si>
    <t>Марка стали</t>
  </si>
  <si>
    <t>P110</t>
  </si>
  <si>
    <t>J55/K55/N80/L80/P110 и т.д.</t>
  </si>
  <si>
    <t>Предел текучести стали</t>
  </si>
  <si>
    <t>Для P110 ≈ 758 МПа</t>
  </si>
  <si>
    <t>Модуль упругости стали (E)</t>
  </si>
  <si>
    <t>ГПа</t>
  </si>
  <si>
    <t>Сталь ≈ 210 ГПа</t>
  </si>
  <si>
    <t>Плотность стали</t>
  </si>
  <si>
    <t>Площадь поперечного сечения трубы</t>
  </si>
  <si>
    <t>мм²</t>
  </si>
  <si>
    <t>2. Ствол скважины</t>
  </si>
  <si>
    <t>Диаметр открытого ствола</t>
  </si>
  <si>
    <t>Напр. 12-1/4" = 311.2 мм</t>
  </si>
  <si>
    <t>Внутренний диаметр предыдущей колонны</t>
  </si>
  <si>
    <t>Напр. 13-3/8" = 339.7 мм OD, ID ≈ 317.9</t>
  </si>
  <si>
    <t>Глубина башмака предыдущей колонны</t>
  </si>
  <si>
    <t>Граница обс./откр. ствола</t>
  </si>
  <si>
    <t>3. Профиль скважины (инклинометрия)</t>
  </si>
  <si>
    <t>Точка начала отхода (KOP)</t>
  </si>
  <si>
    <t>Глубина начала набора угла</t>
  </si>
  <si>
    <t>Интенсивность набора кривизны</t>
  </si>
  <si>
    <t>град/30м</t>
  </si>
  <si>
    <t>Типовое 2–4 град/30м</t>
  </si>
  <si>
    <t>Зенитный угол на забое</t>
  </si>
  <si>
    <t>град</t>
  </si>
  <si>
    <t>Макс. угол отклонения от вертикали</t>
  </si>
  <si>
    <t>Азимут</t>
  </si>
  <si>
    <t>См. лист «Профиль ствола»</t>
  </si>
  <si>
    <t>4. Буровой раствор</t>
  </si>
  <si>
    <t>Плотность бурового раствора</t>
  </si>
  <si>
    <t>1.35 г/см³</t>
  </si>
  <si>
    <t>Пластическая вязкость (PV)</t>
  </si>
  <si>
    <t>сП</t>
  </si>
  <si>
    <t>Пластическая вязкость</t>
  </si>
  <si>
    <t>Предельное напряжение сдвига (YP)</t>
  </si>
  <si>
    <t>Па</t>
  </si>
  <si>
    <t>Yield Point</t>
  </si>
  <si>
    <t>Температура раствора на устье</t>
  </si>
  <si>
    <t>Начальная температура</t>
  </si>
  <si>
    <t>Геотермальный градиент</t>
  </si>
  <si>
    <t>°C/100м</t>
  </si>
  <si>
    <t>Типовое 2.5–3.5</t>
  </si>
  <si>
    <t>Температура раствора на забое</t>
  </si>
  <si>
    <t>Расчёт</t>
  </si>
  <si>
    <t>5. Коэффициенты трения</t>
  </si>
  <si>
    <t>Коэффициент трения в обсаженной части (μ_c)</t>
  </si>
  <si>
    <t>Типовое 0.20–0.30</t>
  </si>
  <si>
    <t>Коэффициент трения в открытом стволе (μ_o)</t>
  </si>
  <si>
    <t>Типовое 0.30–0.45</t>
  </si>
  <si>
    <t>6. Оборудование и ограничения</t>
  </si>
  <si>
    <t>Грузоподъёмность буровой установки</t>
  </si>
  <si>
    <t>Макс. нагрузка на крюк</t>
  </si>
  <si>
    <t>Вес талевой системы</t>
  </si>
  <si>
    <t>Крюкоблок + талевый канат</t>
  </si>
  <si>
    <t>Максимально допустимая затяжка</t>
  </si>
  <si>
    <t>Предел натяжения</t>
  </si>
  <si>
    <t>Максимально допустимая разгрузка</t>
  </si>
  <si>
    <t>Предел сжатия (slack-off)</t>
  </si>
  <si>
    <t>Коэффициент запаса прочности</t>
  </si>
  <si>
    <t>По нагрузке</t>
  </si>
  <si>
    <t>Скорость спуска колонны</t>
  </si>
  <si>
    <t>м/с</t>
  </si>
  <si>
    <t>Для расчёта гидродинамики</t>
  </si>
  <si>
    <t>7. Расчётные коэффициенты (автоматически)</t>
  </si>
  <si>
    <t>Коэффициент плавучести (BF)</t>
  </si>
  <si>
    <t>BF = 1 − ρ_р/ρ_ст</t>
  </si>
  <si>
    <t>Плавучий вес 1 м колонны</t>
  </si>
  <si>
    <t>т/м</t>
  </si>
  <si>
    <t>Вес с учётом плавучести</t>
  </si>
  <si>
    <t>Модуль упругости E в СИ</t>
  </si>
  <si>
    <t>E в Паскалях</t>
  </si>
  <si>
    <t>Момент инерции сечения I (СИ)</t>
  </si>
  <si>
    <t>м⁴</t>
  </si>
  <si>
    <t>I = π/64·(OD⁴−ID⁴)</t>
  </si>
  <si>
    <t>Плавучий вес 1 м в СИ</t>
  </si>
  <si>
    <t>Н/м</t>
  </si>
  <si>
    <t>w_b = m·g·BF</t>
  </si>
  <si>
    <t>Радиальный зазор r (откр. ствол)</t>
  </si>
  <si>
    <t>r = (D_ствола − OD_трубы)/2</t>
  </si>
  <si>
    <t>Радиальный зазор r (обс. ствол)</t>
  </si>
  <si>
    <t>r = (ID_пред. − OD_трубы)/2</t>
  </si>
  <si>
    <t>Ускорение свободного падения g</t>
  </si>
  <si>
    <t>м/с²</t>
  </si>
  <si>
    <t>Константа</t>
  </si>
  <si>
    <t>Допустимая плотность на поглощение (Fracture Gradient)</t>
  </si>
  <si>
    <t>Для предотвращения поглощения раствора</t>
  </si>
  <si>
    <t>Давление опрессовки (Test Pressure)</t>
  </si>
  <si>
    <t>Для трехосного расчета по фон Мизесу</t>
  </si>
  <si>
    <t>ПРОФИЛЬ СТВОЛА СКВАЖИНЫ — ИНКЛИНОМЕТРИЯ</t>
  </si>
  <si>
    <t>MD, м</t>
  </si>
  <si>
    <t>TVD, м</t>
  </si>
  <si>
    <t>Зенитный угол, °</t>
  </si>
  <si>
    <t>Азимут, °</t>
  </si>
  <si>
    <t>Тип секции</t>
  </si>
  <si>
    <t>DLS, °/30м</t>
  </si>
  <si>
    <t>Вертикальная</t>
  </si>
  <si>
    <t>Вертикальная (KOP)</t>
  </si>
  <si>
    <t>Набор угла</t>
  </si>
  <si>
    <t>Набор угла (конец)</t>
  </si>
  <si>
    <t>Стабилизация</t>
  </si>
  <si>
    <t>Стабилизация (TD)</t>
  </si>
  <si>
    <t>РАСЧЁТ ВОЗМОЖНОСТИ СПУСКА — ПОИНТЕРВАЛЬНЫЙ АНАЛИЗ</t>
  </si>
  <si>
    <t>Всего интервалов: 10. Цветом выделены осложнённые интервалы (изгиб/разгрузка/превышение нагрузки). Нагрузка на крюк и накопленные суммы считаются от забоя к устью; сжимающая сила — от устья к забою.</t>
  </si>
  <si>
    <t>MD верх, м</t>
  </si>
  <si>
    <t>MD низ, м</t>
  </si>
  <si>
    <t>ΔL, м</t>
  </si>
  <si>
    <t>Угол верх, °</t>
  </si>
  <si>
    <t>Угол низ, °</t>
  </si>
  <si>
    <t>Угол средний, °</t>
  </si>
  <si>
    <t>μ</t>
  </si>
  <si>
    <t>Вес в воздухе, т</t>
  </si>
  <si>
    <t>Плавучий вес, т</t>
  </si>
  <si>
    <t>Осевая сост. веса, т</t>
  </si>
  <si>
    <t>Нормальная сила, т</t>
  </si>
  <si>
    <t>Сила трения, т</t>
  </si>
  <si>
    <t>Накопл. трение, т</t>
  </si>
  <si>
    <t>Накопл. осев. вес, т</t>
  </si>
  <si>
    <t>Нагр. на крюк (спуск), т</t>
  </si>
  <si>
    <t>Нагр. на крюк (подъём), т</t>
  </si>
  <si>
    <t>Сжимающая сила, т</t>
  </si>
  <si>
    <t>F_крит синус., т</t>
  </si>
  <si>
    <t>F_крит спирал., т</t>
  </si>
  <si>
    <t>Коэф. изгиба</t>
  </si>
  <si>
    <t>Темп., °C</t>
  </si>
  <si>
    <t>Статус</t>
  </si>
  <si>
    <t>t, мм</t>
  </si>
  <si>
    <t>I, м⁴</t>
  </si>
  <si>
    <t>r, м</t>
  </si>
  <si>
    <t>P_coll_res, МПа</t>
  </si>
  <si>
    <t>P_burst_res, МПа</t>
  </si>
  <si>
    <t>P_hydro, МПа</t>
  </si>
  <si>
    <t>v_ann, м/с</t>
  </si>
  <si>
    <t>dP/dz, Па/м</t>
  </si>
  <si>
    <t>P_surge, МПа</t>
  </si>
  <si>
    <t>P_total, МПа</t>
  </si>
  <si>
    <t>ECD, кг/м³</t>
  </si>
  <si>
    <t>SF_ECD</t>
  </si>
  <si>
    <t>VM Stress, МПа</t>
  </si>
  <si>
    <t>SF_Strength</t>
  </si>
  <si>
    <t>SF_Collapse</t>
  </si>
  <si>
    <t>SF_Burst</t>
  </si>
  <si>
    <t>ГРАФИКИ И ВИЗУАЛИЗАЦИЯ</t>
  </si>
  <si>
    <t>Все графики построены на данных листа «Расчёт». Обновляются автоматически при изменении входных данных.</t>
  </si>
  <si>
    <t>Грузоподъём., т</t>
  </si>
  <si>
    <t>Макс. затяжка, т</t>
  </si>
  <si>
    <t>Макс. разгрузка, т</t>
  </si>
  <si>
    <t>Вес талевой,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</si>
</sst>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9">
    <font>
      <sz val="11"/>
      <color theme="1"/>
      <name val="Calibri"/>
      <family val="2"/>
      <charset val="1"/>
    </font>
    <font>
      <sz val="16"/>
      <color rgb="FF1B2A4A"/>
      <name val="Noto Sans CJK SC"/>
      <charset val="1"/>
    </font>
    <font>
      <i/>
      <sz val="10"/>
      <color rgb="FF8C8A84"/>
      <name val="Noto Sans CJK SC"/>
      <charset val="1"/>
    </font>
    <font>
      <sz val="11"/>
      <color rgb="FFFFFFFF"/>
      <name val="Noto Sans CJK SC"/>
      <charset val="1"/>
    </font>
    <font>
      <sz val="12"/>
      <color rgb="FF1B2A4A"/>
      <name val="Noto Sans CJK SC"/>
      <charset val="1"/>
    </font>
    <font>
      <sz val="11"/>
      <color rgb="FF37352F"/>
      <name val="Noto Sans CJK SC"/>
      <charset val="1"/>
    </font>
    <font>
      <sz val="11"/>
      <color rgb="FF0000CC"/>
      <name val="Noto Sans CJK SC"/>
      <charset val="1"/>
    </font>
    <font>
      <sz val="9"/>
      <color rgb="FF8C8A84"/>
      <name val="Noto Sans CJK SC"/>
      <charset val="1"/>
    </font>
    <font>
      <sz val="11"/>
      <color rgb="FF37352F"/>
      <name val="Noto Sans CJK SC"/>
    </font>
    <font>
      <sz val="11"/>
      <color rgb="FF0000CC"/>
      <name val="Noto Sans CJK SC"/>
    </font>
    <font>
      <sz val="9"/>
      <color rgb="FF8C8A84"/>
      <name val="Noto Sans CJK SC"/>
    </font>
    <font>
      <b/>
      <sz val="11"/>
      <color rgb="FFFFFFFF"/>
      <name val="Noto Sans CJK SC"/>
    </font>
    <font>
      <sz val="11"/>
      <name val="Noto Sans CJK SC"/>
    </font>
    <font>
      <b/>
      <sz val="16"/>
      <color rgb="FF1F497D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  <fill>
      <patternFill patternType="solid">
        <fgColor rgb="FFFFF8DC"/>
        <bgColor rgb="FFFEF9E7"/>
      </patternFill>
    </fill>
    <fill>
      <patternFill patternType="solid">
        <fgColor rgb="FFFAFAF9"/>
        <bgColor rgb="FFF7F7F5"/>
      </patternFill>
    </fill>
    <fill>
      <patternFill patternType="solid">
        <fgColor rgb="FFFFFFFF"/>
        <bgColor rgb="FFFAFAF9"/>
      </patternFill>
    </fill>
    <fill>
      <patternFill patternType="solid">
        <fgColor rgb="FFF7F7F5"/>
        <bgColor rgb="FFFAFAF9"/>
      </patternFill>
    </fill>
    <fill>
      <patternFill patternType="solid">
        <fgColor rgb="FFFFFFCC"/>
        <bgColor rgb="FFFFFFCC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244061"/>
        <bgColor rgb="FF24406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44061"/>
        <bgColor rgb="FF244061"/>
      </patternFill>
    </fill>
    <fill>
      <patternFill patternType="solid">
        <fgColor rgb="FFE2EFDA"/>
        <bgColor rgb="FFE2EFDA"/>
      </patternFill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2"/>
  </cellStyleXfs>
  <cellXfs count="58"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6" fillId="4" borderId="0" xfId="0" applyFont="1" applyFill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" fillId="5" borderId="0" xfId="0" applyFont="1" applyFill="1" applyBorder="1" applyAlignment="1">
      <alignment horizontal="right" vertical="center"/>
    </xf>
    <xf numFmtId="0" fontId="5" fillId="6" borderId="0" xfId="0" applyFont="1" applyFill="1" applyBorder="1" applyAlignment="1">
      <alignment horizontal="right" vertical="center"/>
    </xf>
    <xf numFmtId="3" fontId="5" fillId="6" borderId="0" xfId="0" applyNumberFormat="1" applyFont="1" applyFill="1" applyBorder="1" applyAlignment="1">
      <alignment horizontal="right" vertical="center"/>
    </xf>
    <xf numFmtId="164" fontId="5" fillId="6" borderId="0" xfId="0" applyNumberFormat="1" applyFont="1" applyFill="1" applyBorder="1" applyAlignment="1">
      <alignment horizontal="right" vertical="center"/>
    </xf>
    <xf numFmtId="0" fontId="5" fillId="6" borderId="0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right" vertical="center"/>
    </xf>
    <xf numFmtId="3" fontId="5" fillId="7" borderId="0" xfId="0" applyNumberFormat="1" applyFont="1" applyFill="1" applyBorder="1" applyAlignment="1">
      <alignment horizontal="right" vertical="center"/>
    </xf>
    <xf numFmtId="164" fontId="5" fillId="7" borderId="0" xfId="0" applyNumberFormat="1" applyFont="1" applyFill="1" applyBorder="1" applyAlignment="1">
      <alignment horizontal="right" vertical="center"/>
    </xf>
    <xf numFmtId="0" fontId="5" fillId="7" borderId="0" xfId="0" applyFont="1" applyFill="1" applyBorder="1" applyAlignment="1">
      <alignment horizontal="left" vertical="center"/>
    </xf>
    <xf numFmtId="165" fontId="5" fillId="6" borderId="0" xfId="0" applyNumberFormat="1" applyFont="1" applyFill="1" applyBorder="1" applyAlignment="1">
      <alignment horizontal="right" vertical="center"/>
    </xf>
    <xf numFmtId="2" fontId="5" fillId="6" borderId="0" xfId="0" applyNumberFormat="1" applyFont="1" applyFill="1" applyBorder="1" applyAlignment="1">
      <alignment horizontal="right" vertical="center"/>
    </xf>
    <xf numFmtId="4" fontId="5" fillId="6" borderId="0" xfId="0" applyNumberFormat="1" applyFont="1" applyFill="1" applyBorder="1" applyAlignment="1">
      <alignment horizontal="right" vertical="center"/>
    </xf>
    <xf numFmtId="165" fontId="5" fillId="7" borderId="0" xfId="0" applyNumberFormat="1" applyFont="1" applyFill="1" applyBorder="1" applyAlignment="1">
      <alignment horizontal="right" vertical="center"/>
    </xf>
    <xf numFmtId="2" fontId="5" fillId="7" borderId="0" xfId="0" applyNumberFormat="1" applyFont="1" applyFill="1" applyBorder="1" applyAlignment="1">
      <alignment horizontal="right" vertical="center"/>
    </xf>
    <xf numFmtId="4" fontId="5" fillId="7" borderId="0" xfId="0" applyNumberFormat="1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8" fillId="0" borderId="2" xfId="0" applyFont="1" applyAlignment="1">
      <alignment horizontal="left" vertical="center"/>
    </xf>
    <xf numFmtId="0" fontId="9" fillId="8" borderId="2" xfId="0" applyFont="1" applyFill="1" applyAlignment="1">
      <alignment horizontal="right" vertical="center"/>
    </xf>
    <xf numFmtId="0" fontId="10" fillId="0" borderId="2" xfId="0" applyFont="1" applyAlignment="1">
      <alignment horizontal="center" vertical="center"/>
    </xf>
    <xf numFmtId="0" fontId="10" fillId="0" borderId="2" xfId="0" applyFont="1" applyAlignment="1">
      <alignment horizontal="left" vertical="center"/>
    </xf>
    <xf numFmtId="0" fontId="11" fillId="11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4" fontId="12" fillId="12" borderId="3" xfId="0" applyNumberFormat="1" applyFont="1" applyFill="1" applyBorder="1" applyAlignment="1">
      <alignment horizontal="center" vertical="center"/>
    </xf>
    <xf numFmtId="165" fontId="12" fillId="10" borderId="3" xfId="0" applyNumberFormat="1" applyFont="1" applyFill="1" applyBorder="1" applyAlignment="1">
      <alignment horizontal="center" vertical="center"/>
    </xf>
    <xf numFmtId="2" fontId="12" fillId="13" borderId="3" xfId="0" applyNumberFormat="1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 wrapText="1"/>
    </xf>
    <xf numFmtId="2" fontId="12" fillId="15" borderId="4" xfId="0" applyNumberFormat="1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0" borderId="4" xfId="0" applyFont="1" applyBorder="1"/>
    <xf numFmtId="165" fontId="17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2" fontId="17" fillId="0" borderId="4" xfId="0" applyNumberFormat="1" applyFont="1" applyBorder="1" applyAlignment="1">
      <alignment horizontal="center"/>
    </xf>
    <xf numFmtId="3" fontId="17" fillId="0" borderId="4" xfId="0" applyNumberFormat="1" applyFont="1" applyBorder="1" applyAlignment="1">
      <alignment horizontal="center"/>
    </xf>
    <xf numFmtId="164" fontId="17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0" fillId="0" borderId="4" xfId="0" applyBorder="1"/>
    <xf numFmtId="0" fontId="14" fillId="16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13" fillId="0" borderId="0" xfId="0" applyFont="1" applyBorder="1" applyAlignment="1">
      <alignment horizontal="center" vertical="center"/>
    </xf>
    <xf numFmtId="0" fontId="16" fillId="0" borderId="4" xfId="0" applyFont="1" applyBorder="1"/>
    <xf numFmtId="1" fontId="17" fillId="0" borderId="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8" fillId="0" borderId="4" xfId="0" applyFont="1" applyBorder="1" applyAlignment="1">
      <alignment horizontal="left" vertical="center" wrapText="1"/>
    </xf>
    <xf numFmtId="0" fontId="4" fillId="3" borderId="2" xfId="0" applyFont="1" applyFill="1" applyAlignment="1">
      <alignment horizontal="left" vertical="center" indent="1"/>
    </xf>
    <xf numFmtId="0" fontId="2" fillId="0" borderId="2" xfId="0" applyFont="1" applyAlignment="1">
      <alignment horizontal="left" vertical="center"/>
    </xf>
    <xf numFmtId="0" fontId="1" fillId="0" borderId="2" xfId="0" applyFont="1" applyAlignment="1">
      <alignment horizontal="left" vertical="center"/>
    </xf>
    <xf numFmtId="0" fontId="2" fillId="0" borderId="2" xfId="0" applyFont="1"/>
  </cellXfs>
  <cellStyles count="1">
    <cellStyle name="Обычный" xfId="0" builtinId="0"/>
  </cellStyles>
  <dxfs count="11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1B7D46"/>
      </font>
      <fill>
        <patternFill>
          <bgColor rgb="FFE8F5E9"/>
        </patternFill>
      </fill>
    </dxf>
    <dxf>
      <font>
        <b/>
        <color rgb="FFD4820A"/>
      </font>
      <fill>
        <patternFill>
          <bgColor rgb="FFFEF9E7"/>
        </patternFill>
      </fill>
    </dxf>
    <dxf>
      <font>
        <b/>
        <color rgb="FFC0392B"/>
      </font>
      <fill>
        <patternFill>
          <bgColor rgb="FFFDEDEC"/>
        </patternFill>
      </fill>
    </dxf>
    <dxf>
      <font>
        <color rgb="FFD4820A"/>
      </font>
      <fill>
        <patternFill>
          <bgColor rgb="FFFEF9E7"/>
        </patternFill>
      </fill>
    </dxf>
    <dxf>
      <font>
        <b/>
        <color rgb="FFC0392B"/>
      </font>
      <fill>
        <patternFill>
          <bgColor rgb="FFFDED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F7F7F5"/>
      <rgbColor rgb="FF878787"/>
      <rgbColor rgb="FF9999FF"/>
      <rgbColor rgb="FF993366"/>
      <rgbColor rgb="FFFFF8DC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9E9E8"/>
      <rgbColor rgb="FFFEF9E7"/>
      <rgbColor rgb="FFFAFAF9"/>
      <rgbColor rgb="FFFF99CC"/>
      <rgbColor rgb="FFCC99FF"/>
      <rgbColor rgb="FFFDEDEC"/>
      <rgbColor rgb="FF3366FF"/>
      <rgbColor rgb="FF33CCCC"/>
      <rgbColor rgb="FF99CC00"/>
      <rgbColor rgb="FFFFCC00"/>
      <rgbColor rgb="FFD4820A"/>
      <rgbColor rgb="FFFF6600"/>
      <rgbColor rgb="FF666699"/>
      <rgbColor rgb="FF8C8A84"/>
      <rgbColor rgb="FF1B2A4A"/>
      <rgbColor rgb="FF339966"/>
      <rgbColor rgb="FF003300"/>
      <rgbColor rgb="FF333300"/>
      <rgbColor rgb="FFC0392B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Нагрузка на крюк </a:t>
            </a:r>
            <a:r>
              <a:rPr lang="en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vs </a:t>
            </a: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глубина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Расчёт!$R$4</c:f>
              <c:strCache>
                <c:ptCount val="1"/>
                <c:pt idx="0">
                  <c:v>Нагр. на крюк (спуск), т</c:v>
                </c:pt>
              </c:strCache>
            </c:strRef>
          </c:tx>
          <c:spPr>
            <a:ln w="28440">
              <a:solidFill>
                <a:srgbClr val="1B2A4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Расчёт!$R$5:$R$14</c:f>
              <c:numCache>
                <c:formatCode>#,##0.00</c:formatCode>
                <c:ptCount val="10"/>
                <c:pt idx="0">
                  <c:v>118.60737996131145</c:v>
                </c:pt>
                <c:pt idx="1">
                  <c:v>101.23374938806303</c:v>
                </c:pt>
                <c:pt idx="2">
                  <c:v>83.860118814814626</c:v>
                </c:pt>
                <c:pt idx="3">
                  <c:v>83.225096148619343</c:v>
                </c:pt>
                <c:pt idx="4">
                  <c:v>82.654743659454255</c:v>
                </c:pt>
                <c:pt idx="5">
                  <c:v>82.77231615682588</c:v>
                </c:pt>
                <c:pt idx="6">
                  <c:v>68.951677665630271</c:v>
                </c:pt>
                <c:pt idx="7">
                  <c:v>53.595412675412931</c:v>
                </c:pt>
                <c:pt idx="8">
                  <c:v>40.286649683891227</c:v>
                </c:pt>
                <c:pt idx="9">
                  <c:v>26.97788669236953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9E-9249-BEC1-E5F9525AC743}"/>
            </c:ext>
          </c:extLst>
        </c:ser>
        <c:ser>
          <c:idx val="1"/>
          <c:order val="1"/>
          <c:tx>
            <c:strRef>
              <c:f>Расчёт!$S$4</c:f>
              <c:strCache>
                <c:ptCount val="1"/>
                <c:pt idx="0">
                  <c:v>Нагр. на крюк (подъём), т</c:v>
                </c:pt>
              </c:strCache>
            </c:strRef>
          </c:tx>
          <c:spPr>
            <a:ln w="28440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Расчёт!$S$5:$S$14</c:f>
              <c:numCache>
                <c:formatCode>#,##0.00</c:formatCode>
                <c:ptCount val="10"/>
                <c:pt idx="0">
                  <c:v>224.50690050202735</c:v>
                </c:pt>
                <c:pt idx="1">
                  <c:v>207.13326992877893</c:v>
                </c:pt>
                <c:pt idx="2">
                  <c:v>189.75963935553051</c:v>
                </c:pt>
                <c:pt idx="3">
                  <c:v>173.16966526647172</c:v>
                </c:pt>
                <c:pt idx="4">
                  <c:v>157.68887606360028</c:v>
                </c:pt>
                <c:pt idx="5">
                  <c:v>143.78787571795613</c:v>
                </c:pt>
                <c:pt idx="6">
                  <c:v>120.75347823263009</c:v>
                </c:pt>
                <c:pt idx="7">
                  <c:v>95.15970324893452</c:v>
                </c:pt>
                <c:pt idx="8">
                  <c:v>67.518426266543315</c:v>
                </c:pt>
                <c:pt idx="9">
                  <c:v>39.877149284152097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9E-9249-BEC1-E5F9525AC743}"/>
            </c:ext>
          </c:extLst>
        </c:ser>
        <c:ser>
          <c:idx val="2"/>
          <c:order val="2"/>
          <c:tx>
            <c:strRef>
              <c:f>Графики!$C$4</c:f>
              <c:strCache>
                <c:ptCount val="1"/>
                <c:pt idx="0">
                  <c:v>Грузоподъём., т</c:v>
                </c:pt>
              </c:strCache>
            </c:strRef>
          </c:tx>
          <c:spPr>
            <a:ln w="28440">
              <a:solidFill>
                <a:srgbClr val="D4820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Графики!$C$5:$C$14</c:f>
              <c:numCache>
                <c:formatCode>#,##0</c:formatCode>
                <c:ptCount val="1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9E-9249-BEC1-E5F9525AC743}"/>
            </c:ext>
          </c:extLst>
        </c:ser>
        <c:ser>
          <c:idx val="3"/>
          <c:order val="3"/>
          <c:tx>
            <c:strRef>
              <c:f>Графики!$D$4</c:f>
              <c:strCache>
                <c:ptCount val="1"/>
                <c:pt idx="0">
                  <c:v>Макс. затяжка, т</c:v>
                </c:pt>
              </c:strCache>
            </c:strRef>
          </c:tx>
          <c:spPr>
            <a:ln w="28440">
              <a:solidFill>
                <a:srgbClr val="1B7D4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Графики!$D$5:$D$14</c:f>
              <c:numCache>
                <c:formatCode>#,##0</c:formatCode>
                <c:ptCount val="1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19E-9249-BEC1-E5F9525AC743}"/>
            </c:ext>
          </c:extLst>
        </c:ser>
        <c:ser>
          <c:idx val="4"/>
          <c:order val="4"/>
          <c:tx>
            <c:strRef>
              <c:f>Графики!$E$4</c:f>
              <c:strCache>
                <c:ptCount val="1"/>
                <c:pt idx="0">
                  <c:v>Макс. разгрузка, т</c:v>
                </c:pt>
              </c:strCache>
            </c:strRef>
          </c:tx>
          <c:spPr>
            <a:ln w="28440">
              <a:solidFill>
                <a:srgbClr val="8C8A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Графики!$E$5:$E$14</c:f>
              <c:numCache>
                <c:formatCode>#,##0</c:formatCode>
                <c:ptCount val="10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19E-9249-BEC1-E5F9525AC743}"/>
            </c:ext>
          </c:extLst>
        </c:ser>
        <c:ser>
          <c:idx val="5"/>
          <c:order val="5"/>
          <c:tx>
            <c:strRef>
              <c:f>Графики!$F$4</c:f>
              <c:strCache>
                <c:ptCount val="1"/>
                <c:pt idx="0">
                  <c:v>Вес талевой, т</c:v>
                </c:pt>
              </c:strCache>
            </c:strRef>
          </c:tx>
          <c:spPr>
            <a:ln w="28440">
              <a:solidFill>
                <a:srgbClr val="8C8A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Графики!$F$5:$F$14</c:f>
              <c:numCache>
                <c:formatCode>#,##0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19E-9249-BEC1-E5F9525AC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5499088"/>
        <c:axId val="62442084"/>
      </c:lineChart>
      <c:catAx>
        <c:axId val="25499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MD, </a:t>
                </a: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м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62442084"/>
        <c:crosses val="autoZero"/>
        <c:auto val="1"/>
        <c:lblAlgn val="ctr"/>
        <c:lblOffset val="100"/>
        <c:noMultiLvlLbl val="0"/>
      </c:catAx>
      <c:valAx>
        <c:axId val="62442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Нагрузка, т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2549908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Сила трения (затяжка/разгрузка) </a:t>
            </a:r>
            <a:r>
              <a:rPr lang="en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vs </a:t>
            </a: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глубина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Расчёт!$O$4</c:f>
              <c:strCache>
                <c:ptCount val="1"/>
                <c:pt idx="0">
                  <c:v>Сила трения, т</c:v>
                </c:pt>
              </c:strCache>
            </c:strRef>
          </c:tx>
          <c:spPr>
            <a:ln w="28440">
              <a:solidFill>
                <a:srgbClr val="8C8A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Расчёт!$O$5:$O$14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7.9774757114317412</c:v>
                </c:pt>
                <c:pt idx="3">
                  <c:v>7.4552183568531856</c:v>
                </c:pt>
                <c:pt idx="4">
                  <c:v>7.0092864215078929</c:v>
                </c:pt>
                <c:pt idx="5">
                  <c:v>4.6068794970652025</c:v>
                </c:pt>
                <c:pt idx="6">
                  <c:v>5.1187549967391135</c:v>
                </c:pt>
                <c:pt idx="7">
                  <c:v>7.1662569954347584</c:v>
                </c:pt>
                <c:pt idx="8">
                  <c:v>7.1662569954347584</c:v>
                </c:pt>
                <c:pt idx="9">
                  <c:v>6.4496312958912831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AB-804C-89AD-82C1F23E94CF}"/>
            </c:ext>
          </c:extLst>
        </c:ser>
        <c:ser>
          <c:idx val="1"/>
          <c:order val="1"/>
          <c:tx>
            <c:strRef>
              <c:f>Расчёт!$P$4</c:f>
              <c:strCache>
                <c:ptCount val="1"/>
                <c:pt idx="0">
                  <c:v>Накопл. трение, т</c:v>
                </c:pt>
              </c:strCache>
            </c:strRef>
          </c:tx>
          <c:spPr>
            <a:ln w="28440">
              <a:solidFill>
                <a:srgbClr val="1B2A4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Расчёт!$P$5:$P$14</c:f>
              <c:numCache>
                <c:formatCode>#,##0.00</c:formatCode>
                <c:ptCount val="10"/>
                <c:pt idx="0">
                  <c:v>52.949760270357942</c:v>
                </c:pt>
                <c:pt idx="1">
                  <c:v>52.949760270357942</c:v>
                </c:pt>
                <c:pt idx="2">
                  <c:v>52.949760270357942</c:v>
                </c:pt>
                <c:pt idx="3">
                  <c:v>44.972284558926198</c:v>
                </c:pt>
                <c:pt idx="4">
                  <c:v>37.517066202073011</c:v>
                </c:pt>
                <c:pt idx="5">
                  <c:v>30.507779780565116</c:v>
                </c:pt>
                <c:pt idx="6">
                  <c:v>25.900900283499912</c:v>
                </c:pt>
                <c:pt idx="7">
                  <c:v>20.782145286760798</c:v>
                </c:pt>
                <c:pt idx="8">
                  <c:v>13.615888291326041</c:v>
                </c:pt>
                <c:pt idx="9">
                  <c:v>6.4496312958912831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AB-804C-89AD-82C1F23E9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869110"/>
        <c:axId val="53747965"/>
      </c:lineChart>
      <c:catAx>
        <c:axId val="738691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MD, </a:t>
                </a: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м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53747965"/>
        <c:crosses val="autoZero"/>
        <c:auto val="1"/>
        <c:lblAlgn val="ctr"/>
        <c:lblOffset val="100"/>
        <c:noMultiLvlLbl val="0"/>
      </c:catAx>
      <c:valAx>
        <c:axId val="53747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Сила трения, т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7386911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Профиль ствола: зенитный угол </a:t>
            </a:r>
            <a:r>
              <a:rPr lang="en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vs MD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'Профиль ствола'!$E$4</c:f>
              <c:strCache>
                <c:ptCount val="1"/>
                <c:pt idx="0">
                  <c:v>Зенитный угол, °</c:v>
                </c:pt>
              </c:strCache>
            </c:strRef>
          </c:tx>
          <c:spPr>
            <a:ln w="28440">
              <a:solidFill>
                <a:srgbClr val="1B2A4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'Профиль ствола'!$C$5:$C$15</c:f>
              <c:numCache>
                <c:formatCode>#,##0</c:formatCode>
                <c:ptCount val="1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  <c:pt idx="10">
                  <c:v>3450</c:v>
                </c:pt>
              </c:numCache>
            </c:numRef>
          </c:cat>
          <c:val>
            <c:numRef>
              <c:f>'Профиль ствола'!$E$5:$E$15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30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A1-C84F-8FBF-25CF3F0A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5931769"/>
        <c:axId val="96489671"/>
      </c:lineChart>
      <c:catAx>
        <c:axId val="359317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MD, </a:t>
                </a: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м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6489671"/>
        <c:crosses val="autoZero"/>
        <c:auto val="1"/>
        <c:lblAlgn val="ctr"/>
        <c:lblOffset val="100"/>
        <c:noMultiLvlLbl val="0"/>
      </c:catAx>
      <c:valAx>
        <c:axId val="96489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Зенитный угол, °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3593176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Температура раствора </a:t>
            </a:r>
            <a:r>
              <a:rPr lang="en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vs </a:t>
            </a: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глубина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Расчёт!$X$4</c:f>
              <c:strCache>
                <c:ptCount val="1"/>
                <c:pt idx="0">
                  <c:v>Темп., °C</c:v>
                </c:pt>
              </c:strCache>
            </c:strRef>
          </c:tx>
          <c:spPr>
            <a:ln w="28440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Расчёт!$X$5:$X$14</c:f>
              <c:numCache>
                <c:formatCode>0.0</c:formatCode>
                <c:ptCount val="10"/>
                <c:pt idx="0">
                  <c:v>24.5</c:v>
                </c:pt>
                <c:pt idx="1">
                  <c:v>33.5</c:v>
                </c:pt>
                <c:pt idx="2">
                  <c:v>40.25</c:v>
                </c:pt>
                <c:pt idx="3">
                  <c:v>44.75</c:v>
                </c:pt>
                <c:pt idx="4">
                  <c:v>49.25</c:v>
                </c:pt>
                <c:pt idx="5">
                  <c:v>58.25</c:v>
                </c:pt>
                <c:pt idx="6">
                  <c:v>72.5</c:v>
                </c:pt>
                <c:pt idx="7">
                  <c:v>87.5</c:v>
                </c:pt>
                <c:pt idx="8">
                  <c:v>102.5</c:v>
                </c:pt>
                <c:pt idx="9">
                  <c:v>116.75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53-D343-A8F7-E4802B0F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3693223"/>
        <c:axId val="20496489"/>
      </c:lineChart>
      <c:catAx>
        <c:axId val="13693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MD, </a:t>
                </a: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м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20496489"/>
        <c:crosses val="autoZero"/>
        <c:auto val="1"/>
        <c:lblAlgn val="ctr"/>
        <c:lblOffset val="100"/>
        <c:noMultiLvlLbl val="0"/>
      </c:catAx>
      <c:valAx>
        <c:axId val="20496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Температура, °</a:t>
                </a:r>
                <a:r>
                  <a:rPr lang="en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C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1369322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Анализ изгиба: сжимающая сила </a:t>
            </a:r>
            <a:r>
              <a:rPr lang="en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vs </a:t>
            </a:r>
            <a:r>
              <a:rPr lang="ru-RU" sz="1200" b="0" strike="noStrik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критическая (спиральная)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Расчёт!$T$4</c:f>
              <c:strCache>
                <c:ptCount val="1"/>
                <c:pt idx="0">
                  <c:v>Сжимающая сила, т</c:v>
                </c:pt>
              </c:strCache>
            </c:strRef>
          </c:tx>
          <c:spPr>
            <a:ln w="28440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Расчёт!$T$5:$T$14</c:f>
              <c:numCache>
                <c:formatCode>#,##0.00</c:formatCode>
                <c:ptCount val="10"/>
                <c:pt idx="0">
                  <c:v>93.766250611936968</c:v>
                </c:pt>
                <c:pt idx="1">
                  <c:v>111.13988118518537</c:v>
                </c:pt>
                <c:pt idx="2">
                  <c:v>111.77490385138066</c:v>
                </c:pt>
                <c:pt idx="3">
                  <c:v>112.34525634054575</c:v>
                </c:pt>
                <c:pt idx="4">
                  <c:v>112.22768384317412</c:v>
                </c:pt>
                <c:pt idx="5">
                  <c:v>126.04832233436973</c:v>
                </c:pt>
                <c:pt idx="6">
                  <c:v>141.40458732458708</c:v>
                </c:pt>
                <c:pt idx="7">
                  <c:v>154.71335031610874</c:v>
                </c:pt>
                <c:pt idx="8">
                  <c:v>168.02211330763049</c:v>
                </c:pt>
                <c:pt idx="9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21-1D47-87EE-645DDCFF2F5E}"/>
            </c:ext>
          </c:extLst>
        </c:ser>
        <c:ser>
          <c:idx val="1"/>
          <c:order val="1"/>
          <c:tx>
            <c:strRef>
              <c:f>Расчёт!$V$4</c:f>
              <c:strCache>
                <c:ptCount val="1"/>
                <c:pt idx="0">
                  <c:v>F_крит спирал., т</c:v>
                </c:pt>
              </c:strCache>
            </c:strRef>
          </c:tx>
          <c:spPr>
            <a:ln w="28440">
              <a:solidFill>
                <a:srgbClr val="1B7D4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Расчёт!$C$5:$C$14</c:f>
              <c:numCache>
                <c:formatCode>#\ ##0.0</c:formatCode>
                <c:ptCount val="10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750</c:v>
                </c:pt>
                <c:pt idx="4">
                  <c:v>900</c:v>
                </c:pt>
                <c:pt idx="5">
                  <c:v>1050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cat>
          <c:val>
            <c:numRef>
              <c:f>Расчёт!$V$5:$V$14</c:f>
              <c:numCache>
                <c:formatCode>#,##0.00</c:formatCode>
                <c:ptCount val="10"/>
                <c:pt idx="0">
                  <c:v>6.291436721251654</c:v>
                </c:pt>
                <c:pt idx="1">
                  <c:v>6.291436721251654</c:v>
                </c:pt>
                <c:pt idx="2">
                  <c:v>64.724438353821057</c:v>
                </c:pt>
                <c:pt idx="3">
                  <c:v>110.82539464043295</c:v>
                </c:pt>
                <c:pt idx="4">
                  <c:v>139.77935112448063</c:v>
                </c:pt>
                <c:pt idx="5">
                  <c:v>150.64750982227716</c:v>
                </c:pt>
                <c:pt idx="6">
                  <c:v>150.64750982227716</c:v>
                </c:pt>
                <c:pt idx="7">
                  <c:v>158.03274007611861</c:v>
                </c:pt>
                <c:pt idx="8">
                  <c:v>158.03274007611861</c:v>
                </c:pt>
                <c:pt idx="9">
                  <c:v>158.03274007611861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21-1D47-87EE-645DDCFF2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4934372"/>
        <c:axId val="23918700"/>
      </c:lineChart>
      <c:catAx>
        <c:axId val="14934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MD, </a:t>
                </a: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м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23918700"/>
        <c:crosses val="autoZero"/>
        <c:auto val="1"/>
        <c:lblAlgn val="ctr"/>
        <c:lblOffset val="100"/>
        <c:noMultiLvlLbl val="0"/>
      </c:catAx>
      <c:valAx>
        <c:axId val="23918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1000" b="0" strike="noStrik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Сила, т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149343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17</xdr:col>
      <xdr:colOff>165960</xdr:colOff>
      <xdr:row>21</xdr:row>
      <xdr:rowOff>156960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17</xdr:col>
      <xdr:colOff>165960</xdr:colOff>
      <xdr:row>49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17</xdr:col>
      <xdr:colOff>165960</xdr:colOff>
      <xdr:row>73</xdr:row>
      <xdr:rowOff>128160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75</xdr:row>
      <xdr:rowOff>0</xdr:rowOff>
    </xdr:from>
    <xdr:to>
      <xdr:col>17</xdr:col>
      <xdr:colOff>165960</xdr:colOff>
      <xdr:row>97</xdr:row>
      <xdr:rowOff>128160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99</xdr:row>
      <xdr:rowOff>0</xdr:rowOff>
    </xdr:from>
    <xdr:to>
      <xdr:col>17</xdr:col>
      <xdr:colOff>165960</xdr:colOff>
      <xdr:row>121</xdr:row>
      <xdr:rowOff>128160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9"/>
  <sheetViews>
    <sheetView showGridLines="0" tabSelected="1" zoomScaleNormal="10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I5" sqref="I5"/>
    </sheetView>
  </sheetViews>
  <sheetFormatPr baseColWidth="10" defaultColWidth="8.6640625" defaultRowHeight="15" customHeight="1"/>
  <cols>
    <col min="1" max="1" width="3" customWidth="1"/>
    <col min="2" max="2" width="42" customWidth="1"/>
    <col min="3" max="3" width="16" customWidth="1"/>
    <col min="4" max="4" width="12" customWidth="1"/>
    <col min="5" max="5" width="48" customWidth="1"/>
    <col min="7" max="14" width="15" customWidth="1"/>
  </cols>
  <sheetData>
    <row r="2" spans="2:14" ht="31.5" customHeight="1">
      <c r="B2" s="56" t="s">
        <v>45</v>
      </c>
      <c r="C2" s="47"/>
      <c r="D2" s="47"/>
      <c r="E2" s="47"/>
    </row>
    <row r="3" spans="2:14" ht="18" customHeight="1">
      <c r="B3" s="55" t="s">
        <v>46</v>
      </c>
      <c r="C3" s="47"/>
      <c r="D3" s="47"/>
      <c r="E3" s="47"/>
    </row>
    <row r="4" spans="2:14" ht="27.75" customHeight="1">
      <c r="B4" s="1" t="s">
        <v>47</v>
      </c>
      <c r="C4" s="1" t="s">
        <v>3</v>
      </c>
      <c r="D4" s="1" t="s">
        <v>4</v>
      </c>
      <c r="E4" s="1" t="s">
        <v>48</v>
      </c>
      <c r="G4" s="21" t="s">
        <v>49</v>
      </c>
      <c r="H4" s="21" t="s">
        <v>50</v>
      </c>
      <c r="I4" s="21" t="s">
        <v>51</v>
      </c>
      <c r="J4" s="21" t="s">
        <v>52</v>
      </c>
      <c r="K4" s="21" t="s">
        <v>53</v>
      </c>
      <c r="L4" s="21" t="s">
        <v>54</v>
      </c>
      <c r="M4" s="21" t="s">
        <v>55</v>
      </c>
      <c r="N4" s="21" t="s">
        <v>56</v>
      </c>
    </row>
    <row r="5" spans="2:14" ht="24" customHeight="1">
      <c r="B5" s="54" t="s">
        <v>57</v>
      </c>
      <c r="C5" s="47"/>
      <c r="D5" s="47"/>
      <c r="E5" s="47"/>
      <c r="G5" s="22">
        <v>1</v>
      </c>
      <c r="H5" s="23">
        <v>0</v>
      </c>
      <c r="I5" s="23">
        <f>'Входные данные'!$C$11</f>
        <v>3450</v>
      </c>
      <c r="J5" s="23">
        <f>'Входные данные'!$C$7</f>
        <v>244.5</v>
      </c>
      <c r="K5" s="23">
        <f>'Входные данные'!$C$8</f>
        <v>220.5</v>
      </c>
      <c r="L5" s="23" t="str">
        <f>'Входные данные'!$C$12</f>
        <v>P110</v>
      </c>
      <c r="M5" s="23">
        <f>'Входные данные'!$C$13</f>
        <v>758</v>
      </c>
      <c r="N5" s="23">
        <f>'Входные данные'!$C$10</f>
        <v>69.94</v>
      </c>
    </row>
    <row r="6" spans="2:14" ht="19.5" customHeight="1">
      <c r="B6" s="2" t="s">
        <v>58</v>
      </c>
      <c r="C6" s="3">
        <v>3800</v>
      </c>
      <c r="D6" s="4" t="s">
        <v>59</v>
      </c>
      <c r="E6" s="5" t="s">
        <v>60</v>
      </c>
      <c r="G6" s="22">
        <v>2</v>
      </c>
      <c r="H6" s="23">
        <v>99999</v>
      </c>
      <c r="I6" s="23">
        <v>99999</v>
      </c>
      <c r="J6" s="23"/>
      <c r="K6" s="23"/>
      <c r="L6" s="23"/>
      <c r="M6" s="23"/>
      <c r="N6" s="23"/>
    </row>
    <row r="7" spans="2:14" ht="19.5" customHeight="1">
      <c r="B7" s="2" t="s">
        <v>61</v>
      </c>
      <c r="C7" s="3">
        <v>244.5</v>
      </c>
      <c r="D7" s="4" t="s">
        <v>62</v>
      </c>
      <c r="E7" s="5" t="s">
        <v>63</v>
      </c>
      <c r="G7" s="22">
        <v>3</v>
      </c>
      <c r="H7" s="23">
        <v>99999</v>
      </c>
      <c r="I7" s="23">
        <v>99999</v>
      </c>
      <c r="J7" s="23"/>
      <c r="K7" s="23"/>
      <c r="L7" s="23"/>
      <c r="M7" s="23"/>
      <c r="N7" s="23"/>
    </row>
    <row r="8" spans="2:14" ht="19.5" customHeight="1">
      <c r="B8" s="2" t="s">
        <v>64</v>
      </c>
      <c r="C8" s="3">
        <v>220.5</v>
      </c>
      <c r="D8" s="4" t="s">
        <v>62</v>
      </c>
      <c r="E8" s="5" t="s">
        <v>65</v>
      </c>
    </row>
    <row r="9" spans="2:14" ht="19.5" customHeight="1">
      <c r="B9" s="2" t="s">
        <v>66</v>
      </c>
      <c r="C9" s="6">
        <f>($C$7-$C$8)/2</f>
        <v>12</v>
      </c>
      <c r="D9" s="4" t="s">
        <v>62</v>
      </c>
      <c r="E9" s="5" t="s">
        <v>67</v>
      </c>
    </row>
    <row r="10" spans="2:14" ht="19.5" customHeight="1">
      <c r="B10" s="2" t="s">
        <v>68</v>
      </c>
      <c r="C10" s="3">
        <v>69.94</v>
      </c>
      <c r="D10" s="4" t="s">
        <v>69</v>
      </c>
      <c r="E10" s="5" t="s">
        <v>70</v>
      </c>
    </row>
    <row r="11" spans="2:14" ht="19.5" customHeight="1">
      <c r="B11" s="2" t="s">
        <v>71</v>
      </c>
      <c r="C11" s="3">
        <v>3450</v>
      </c>
      <c r="D11" s="4" t="s">
        <v>59</v>
      </c>
      <c r="E11" s="5" t="s">
        <v>72</v>
      </c>
    </row>
    <row r="12" spans="2:14" ht="19.5" customHeight="1">
      <c r="B12" s="2" t="s">
        <v>73</v>
      </c>
      <c r="C12" s="3" t="s">
        <v>74</v>
      </c>
      <c r="D12" s="4" t="s">
        <v>11</v>
      </c>
      <c r="E12" s="5" t="s">
        <v>75</v>
      </c>
    </row>
    <row r="13" spans="2:14" ht="19.5" customHeight="1">
      <c r="B13" s="2" t="s">
        <v>76</v>
      </c>
      <c r="C13" s="3">
        <v>758</v>
      </c>
      <c r="D13" s="4" t="s">
        <v>24</v>
      </c>
      <c r="E13" s="5" t="s">
        <v>77</v>
      </c>
    </row>
    <row r="14" spans="2:14" ht="19.5" customHeight="1">
      <c r="B14" s="2" t="s">
        <v>78</v>
      </c>
      <c r="C14" s="3">
        <v>210</v>
      </c>
      <c r="D14" s="4" t="s">
        <v>79</v>
      </c>
      <c r="E14" s="5" t="s">
        <v>80</v>
      </c>
    </row>
    <row r="15" spans="2:14" ht="19.5" customHeight="1">
      <c r="B15" s="2" t="s">
        <v>81</v>
      </c>
      <c r="C15" s="3">
        <v>7850</v>
      </c>
      <c r="D15" s="4" t="s">
        <v>14</v>
      </c>
      <c r="E15" s="5" t="s">
        <v>25</v>
      </c>
    </row>
    <row r="16" spans="2:14" ht="19.5" customHeight="1">
      <c r="B16" s="2" t="s">
        <v>82</v>
      </c>
      <c r="C16" s="6">
        <f>PI()*($C$7^2-$C$8^2)/4</f>
        <v>8765.0435035155224</v>
      </c>
      <c r="D16" s="4" t="s">
        <v>83</v>
      </c>
      <c r="E16" s="5" t="s">
        <v>67</v>
      </c>
    </row>
    <row r="17" spans="2:5" ht="6" customHeight="1"/>
    <row r="18" spans="2:5" ht="24" customHeight="1">
      <c r="B18" s="54" t="s">
        <v>84</v>
      </c>
      <c r="C18" s="47"/>
      <c r="D18" s="47"/>
      <c r="E18" s="47"/>
    </row>
    <row r="19" spans="2:5" ht="19.5" customHeight="1">
      <c r="B19" s="2" t="s">
        <v>85</v>
      </c>
      <c r="C19" s="3">
        <v>311.2</v>
      </c>
      <c r="D19" s="4" t="s">
        <v>62</v>
      </c>
      <c r="E19" s="5" t="s">
        <v>86</v>
      </c>
    </row>
    <row r="20" spans="2:5" ht="19.5" customHeight="1">
      <c r="B20" s="2" t="s">
        <v>87</v>
      </c>
      <c r="C20" s="3">
        <v>317.89999999999998</v>
      </c>
      <c r="D20" s="4" t="s">
        <v>62</v>
      </c>
      <c r="E20" s="5" t="s">
        <v>88</v>
      </c>
    </row>
    <row r="21" spans="2:5" ht="19.5" customHeight="1">
      <c r="B21" s="2" t="s">
        <v>89</v>
      </c>
      <c r="C21" s="3">
        <v>1800</v>
      </c>
      <c r="D21" s="4" t="s">
        <v>59</v>
      </c>
      <c r="E21" s="5" t="s">
        <v>90</v>
      </c>
    </row>
    <row r="22" spans="2:5" ht="6" customHeight="1"/>
    <row r="23" spans="2:5" ht="24" customHeight="1">
      <c r="B23" s="54" t="s">
        <v>91</v>
      </c>
      <c r="C23" s="47"/>
      <c r="D23" s="47"/>
      <c r="E23" s="47"/>
    </row>
    <row r="24" spans="2:5" ht="19.5" customHeight="1">
      <c r="B24" s="2" t="s">
        <v>92</v>
      </c>
      <c r="C24" s="3">
        <v>600</v>
      </c>
      <c r="D24" s="4" t="s">
        <v>59</v>
      </c>
      <c r="E24" s="5" t="s">
        <v>93</v>
      </c>
    </row>
    <row r="25" spans="2:5" ht="19.5" customHeight="1">
      <c r="B25" s="2" t="s">
        <v>94</v>
      </c>
      <c r="C25" s="3">
        <v>3</v>
      </c>
      <c r="D25" s="4" t="s">
        <v>95</v>
      </c>
      <c r="E25" s="5" t="s">
        <v>96</v>
      </c>
    </row>
    <row r="26" spans="2:5" ht="19.5" customHeight="1">
      <c r="B26" s="2" t="s">
        <v>97</v>
      </c>
      <c r="C26" s="3">
        <v>45</v>
      </c>
      <c r="D26" s="4" t="s">
        <v>98</v>
      </c>
      <c r="E26" s="5" t="s">
        <v>99</v>
      </c>
    </row>
    <row r="27" spans="2:5" ht="19.5" customHeight="1">
      <c r="B27" s="2" t="s">
        <v>100</v>
      </c>
      <c r="C27" s="3">
        <v>90</v>
      </c>
      <c r="D27" s="4" t="s">
        <v>98</v>
      </c>
      <c r="E27" s="5" t="s">
        <v>101</v>
      </c>
    </row>
    <row r="28" spans="2:5" ht="6" customHeight="1"/>
    <row r="29" spans="2:5" ht="24" customHeight="1">
      <c r="B29" s="54" t="s">
        <v>102</v>
      </c>
      <c r="C29" s="47"/>
      <c r="D29" s="47"/>
      <c r="E29" s="47"/>
    </row>
    <row r="30" spans="2:5" ht="19.5" customHeight="1">
      <c r="B30" s="2" t="s">
        <v>103</v>
      </c>
      <c r="C30" s="3">
        <v>1350</v>
      </c>
      <c r="D30" s="4" t="s">
        <v>14</v>
      </c>
      <c r="E30" s="5" t="s">
        <v>104</v>
      </c>
    </row>
    <row r="31" spans="2:5" ht="19.5" customHeight="1">
      <c r="B31" s="2" t="s">
        <v>105</v>
      </c>
      <c r="C31" s="3">
        <v>25</v>
      </c>
      <c r="D31" s="4" t="s">
        <v>106</v>
      </c>
      <c r="E31" s="5" t="s">
        <v>107</v>
      </c>
    </row>
    <row r="32" spans="2:5" ht="19.5" customHeight="1">
      <c r="B32" s="2" t="s">
        <v>108</v>
      </c>
      <c r="C32" s="3">
        <v>15</v>
      </c>
      <c r="D32" s="4" t="s">
        <v>109</v>
      </c>
      <c r="E32" s="5" t="s">
        <v>110</v>
      </c>
    </row>
    <row r="33" spans="2:5" ht="19.5" customHeight="1">
      <c r="B33" s="2" t="s">
        <v>111</v>
      </c>
      <c r="C33" s="3">
        <v>20</v>
      </c>
      <c r="D33" s="4" t="s">
        <v>27</v>
      </c>
      <c r="E33" s="5" t="s">
        <v>112</v>
      </c>
    </row>
    <row r="34" spans="2:5" ht="19.5" customHeight="1">
      <c r="B34" s="2" t="s">
        <v>113</v>
      </c>
      <c r="C34" s="3">
        <v>3</v>
      </c>
      <c r="D34" s="4" t="s">
        <v>114</v>
      </c>
      <c r="E34" s="5" t="s">
        <v>115</v>
      </c>
    </row>
    <row r="35" spans="2:5" ht="19.5" customHeight="1">
      <c r="B35" s="2" t="s">
        <v>116</v>
      </c>
      <c r="C35" s="6">
        <f>$C$33+$C$34*'Профиль ствола'!$D$15/100</f>
        <v>100.85</v>
      </c>
      <c r="D35" s="4" t="s">
        <v>27</v>
      </c>
      <c r="E35" s="5" t="s">
        <v>117</v>
      </c>
    </row>
    <row r="36" spans="2:5" ht="6" customHeight="1"/>
    <row r="37" spans="2:5" ht="24" customHeight="1">
      <c r="B37" s="54" t="s">
        <v>118</v>
      </c>
      <c r="C37" s="47"/>
      <c r="D37" s="47"/>
      <c r="E37" s="47"/>
    </row>
    <row r="38" spans="2:5" ht="19.5" customHeight="1">
      <c r="B38" s="2" t="s">
        <v>119</v>
      </c>
      <c r="C38" s="3">
        <v>0.25</v>
      </c>
      <c r="D38" s="4" t="s">
        <v>11</v>
      </c>
      <c r="E38" s="5" t="s">
        <v>120</v>
      </c>
    </row>
    <row r="39" spans="2:5" ht="19.5" customHeight="1">
      <c r="B39" s="2" t="s">
        <v>121</v>
      </c>
      <c r="C39" s="3">
        <v>0.35</v>
      </c>
      <c r="D39" s="4" t="s">
        <v>11</v>
      </c>
      <c r="E39" s="5" t="s">
        <v>122</v>
      </c>
    </row>
    <row r="40" spans="2:5" ht="6" customHeight="1"/>
    <row r="41" spans="2:5" ht="24" customHeight="1">
      <c r="B41" s="54" t="s">
        <v>123</v>
      </c>
      <c r="C41" s="47"/>
      <c r="D41" s="47"/>
      <c r="E41" s="47"/>
    </row>
    <row r="42" spans="2:5" ht="19.5" customHeight="1">
      <c r="B42" s="2" t="s">
        <v>124</v>
      </c>
      <c r="C42" s="3">
        <v>250</v>
      </c>
      <c r="D42" s="4" t="s">
        <v>8</v>
      </c>
      <c r="E42" s="5" t="s">
        <v>125</v>
      </c>
    </row>
    <row r="43" spans="2:5" ht="19.5" customHeight="1">
      <c r="B43" s="2" t="s">
        <v>126</v>
      </c>
      <c r="C43" s="3">
        <v>15</v>
      </c>
      <c r="D43" s="4" t="s">
        <v>8</v>
      </c>
      <c r="E43" s="5" t="s">
        <v>127</v>
      </c>
    </row>
    <row r="44" spans="2:5" ht="19.5" customHeight="1">
      <c r="B44" s="2" t="s">
        <v>128</v>
      </c>
      <c r="C44" s="3">
        <v>200</v>
      </c>
      <c r="D44" s="4" t="s">
        <v>8</v>
      </c>
      <c r="E44" s="5" t="s">
        <v>129</v>
      </c>
    </row>
    <row r="45" spans="2:5" ht="19.5" customHeight="1">
      <c r="B45" s="2" t="s">
        <v>130</v>
      </c>
      <c r="C45" s="3">
        <v>180</v>
      </c>
      <c r="D45" s="4" t="s">
        <v>8</v>
      </c>
      <c r="E45" s="5" t="s">
        <v>131</v>
      </c>
    </row>
    <row r="46" spans="2:5" ht="19.5" customHeight="1">
      <c r="B46" s="2" t="s">
        <v>132</v>
      </c>
      <c r="C46" s="3">
        <v>1.3</v>
      </c>
      <c r="D46" s="4" t="s">
        <v>11</v>
      </c>
      <c r="E46" s="5" t="s">
        <v>133</v>
      </c>
    </row>
    <row r="47" spans="2:5" ht="19.5" customHeight="1">
      <c r="B47" s="2" t="s">
        <v>134</v>
      </c>
      <c r="C47" s="3">
        <v>0.5</v>
      </c>
      <c r="D47" s="4" t="s">
        <v>135</v>
      </c>
      <c r="E47" s="5" t="s">
        <v>136</v>
      </c>
    </row>
    <row r="48" spans="2:5" ht="6" customHeight="1"/>
    <row r="49" spans="2:5" ht="24" customHeight="1">
      <c r="B49" s="54" t="s">
        <v>137</v>
      </c>
      <c r="C49" s="47"/>
      <c r="D49" s="47"/>
      <c r="E49" s="47"/>
    </row>
    <row r="50" spans="2:5" ht="19.5" customHeight="1">
      <c r="B50" s="2" t="s">
        <v>138</v>
      </c>
      <c r="C50" s="6">
        <f>1-$C$30/$C$15</f>
        <v>0.82802547770700641</v>
      </c>
      <c r="D50" s="4" t="s">
        <v>11</v>
      </c>
      <c r="E50" s="5" t="s">
        <v>139</v>
      </c>
    </row>
    <row r="51" spans="2:5" ht="19.5" customHeight="1">
      <c r="B51" s="2" t="s">
        <v>140</v>
      </c>
      <c r="C51" s="6">
        <f>$C$10*$C$50/1000</f>
        <v>5.7912101910828025E-2</v>
      </c>
      <c r="D51" s="4" t="s">
        <v>141</v>
      </c>
      <c r="E51" s="5" t="s">
        <v>142</v>
      </c>
    </row>
    <row r="52" spans="2:5" ht="19.5" customHeight="1">
      <c r="B52" s="2" t="s">
        <v>143</v>
      </c>
      <c r="C52" s="6">
        <f>$C$14*1000000000</f>
        <v>210000000000</v>
      </c>
      <c r="D52" s="4" t="s">
        <v>109</v>
      </c>
      <c r="E52" s="5" t="s">
        <v>144</v>
      </c>
    </row>
    <row r="53" spans="2:5" ht="19.5" customHeight="1">
      <c r="B53" s="2" t="s">
        <v>145</v>
      </c>
      <c r="C53" s="6">
        <f>PI()/64*(($C$7/1000)^4-($C$8/1000)^4)</f>
        <v>5.938344364392712E-5</v>
      </c>
      <c r="D53" s="4" t="s">
        <v>146</v>
      </c>
      <c r="E53" s="5" t="s">
        <v>147</v>
      </c>
    </row>
    <row r="54" spans="2:5" ht="19.5" customHeight="1">
      <c r="B54" s="2" t="s">
        <v>148</v>
      </c>
      <c r="C54" s="6">
        <f>$C$10*$C$50*9.81</f>
        <v>568.11771974522298</v>
      </c>
      <c r="D54" s="4" t="s">
        <v>149</v>
      </c>
      <c r="E54" s="5" t="s">
        <v>150</v>
      </c>
    </row>
    <row r="55" spans="2:5" ht="19.5" customHeight="1">
      <c r="B55" s="2" t="s">
        <v>151</v>
      </c>
      <c r="C55" s="6">
        <f>($C$19-$C$7)/2000</f>
        <v>3.3349999999999998E-2</v>
      </c>
      <c r="D55" s="4" t="s">
        <v>59</v>
      </c>
      <c r="E55" s="5" t="s">
        <v>152</v>
      </c>
    </row>
    <row r="56" spans="2:5" ht="19.5" customHeight="1">
      <c r="B56" s="2" t="s">
        <v>153</v>
      </c>
      <c r="C56" s="6">
        <f>($C$20-$C$7)/2000</f>
        <v>3.669999999999999E-2</v>
      </c>
      <c r="D56" s="4" t="s">
        <v>59</v>
      </c>
      <c r="E56" s="5" t="s">
        <v>154</v>
      </c>
    </row>
    <row r="57" spans="2:5" ht="19.5" customHeight="1">
      <c r="B57" s="2" t="s">
        <v>155</v>
      </c>
      <c r="C57" s="3">
        <v>9.81</v>
      </c>
      <c r="D57" s="4" t="s">
        <v>156</v>
      </c>
      <c r="E57" s="5" t="s">
        <v>157</v>
      </c>
    </row>
    <row r="58" spans="2:5" ht="6" customHeight="1">
      <c r="B58" s="24" t="s">
        <v>158</v>
      </c>
      <c r="C58" s="25">
        <v>1600</v>
      </c>
      <c r="D58" s="26" t="s">
        <v>14</v>
      </c>
      <c r="E58" s="27" t="s">
        <v>159</v>
      </c>
    </row>
    <row r="59" spans="2:5">
      <c r="B59" s="24" t="s">
        <v>160</v>
      </c>
      <c r="C59" s="25">
        <v>30</v>
      </c>
      <c r="D59" s="26" t="s">
        <v>24</v>
      </c>
      <c r="E59" s="27" t="s">
        <v>161</v>
      </c>
    </row>
  </sheetData>
  <mergeCells count="9">
    <mergeCell ref="B3:E3"/>
    <mergeCell ref="B2:E2"/>
    <mergeCell ref="B37:E37"/>
    <mergeCell ref="B5:E5"/>
    <mergeCell ref="B23:E23"/>
    <mergeCell ref="B41:E41"/>
    <mergeCell ref="B18:E18"/>
    <mergeCell ref="B49:E49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0" sqref="D10"/>
    </sheetView>
  </sheetViews>
  <sheetFormatPr baseColWidth="10" defaultColWidth="8.6640625" defaultRowHeight="15" customHeight="1"/>
  <cols>
    <col min="1" max="1" width="3" customWidth="1"/>
    <col min="2" max="2" width="6" customWidth="1"/>
    <col min="3" max="4" width="14" customWidth="1"/>
    <col min="5" max="5" width="18" customWidth="1"/>
    <col min="6" max="6" width="14" customWidth="1"/>
    <col min="7" max="7" width="22" customWidth="1"/>
    <col min="8" max="8" width="16" customWidth="1"/>
  </cols>
  <sheetData>
    <row r="2" spans="2:8" ht="31.5" customHeight="1">
      <c r="B2" s="56" t="s">
        <v>162</v>
      </c>
      <c r="C2" s="47"/>
      <c r="D2" s="47"/>
      <c r="E2" s="47"/>
      <c r="F2" s="47"/>
      <c r="G2" s="47"/>
      <c r="H2" s="47"/>
    </row>
    <row r="3" spans="2:8" ht="7.5" customHeight="1"/>
    <row r="4" spans="2:8" ht="27.75" customHeight="1">
      <c r="B4" s="1" t="s">
        <v>33</v>
      </c>
      <c r="C4" s="1" t="s">
        <v>163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</row>
    <row r="5" spans="2:8" ht="19.5" customHeight="1">
      <c r="B5" s="7">
        <v>1</v>
      </c>
      <c r="C5" s="8">
        <v>0</v>
      </c>
      <c r="D5" s="8">
        <v>0</v>
      </c>
      <c r="E5" s="9">
        <v>0</v>
      </c>
      <c r="F5" s="9">
        <v>90</v>
      </c>
      <c r="G5" s="10" t="s">
        <v>169</v>
      </c>
      <c r="H5" s="9">
        <v>0</v>
      </c>
    </row>
    <row r="6" spans="2:8" ht="19.5" customHeight="1">
      <c r="B6" s="11">
        <v>2</v>
      </c>
      <c r="C6" s="12">
        <v>300</v>
      </c>
      <c r="D6" s="12">
        <v>300</v>
      </c>
      <c r="E6" s="13">
        <v>0</v>
      </c>
      <c r="F6" s="13">
        <v>90</v>
      </c>
      <c r="G6" s="14" t="s">
        <v>169</v>
      </c>
      <c r="H6" s="13">
        <f t="shared" ref="H6:H15" si="0">ABS(E6-E5)/(C6-C5)*30</f>
        <v>0</v>
      </c>
    </row>
    <row r="7" spans="2:8" ht="19.5" customHeight="1">
      <c r="B7" s="7">
        <v>3</v>
      </c>
      <c r="C7" s="8">
        <v>600</v>
      </c>
      <c r="D7" s="8">
        <v>600</v>
      </c>
      <c r="E7" s="9">
        <v>0</v>
      </c>
      <c r="F7" s="9">
        <v>90</v>
      </c>
      <c r="G7" s="10" t="s">
        <v>170</v>
      </c>
      <c r="H7" s="9">
        <f t="shared" si="0"/>
        <v>0</v>
      </c>
    </row>
    <row r="8" spans="2:8" ht="19.5" customHeight="1">
      <c r="B8" s="11">
        <v>4</v>
      </c>
      <c r="C8" s="12">
        <v>750</v>
      </c>
      <c r="D8" s="12">
        <v>748</v>
      </c>
      <c r="E8" s="13">
        <v>15</v>
      </c>
      <c r="F8" s="13">
        <v>90</v>
      </c>
      <c r="G8" s="14" t="s">
        <v>171</v>
      </c>
      <c r="H8" s="13">
        <f t="shared" si="0"/>
        <v>3</v>
      </c>
    </row>
    <row r="9" spans="2:8" ht="19.5" customHeight="1">
      <c r="B9" s="7">
        <v>5</v>
      </c>
      <c r="C9" s="8">
        <v>900</v>
      </c>
      <c r="D9" s="8">
        <v>891</v>
      </c>
      <c r="E9" s="9">
        <v>30</v>
      </c>
      <c r="F9" s="9">
        <v>90</v>
      </c>
      <c r="G9" s="10" t="s">
        <v>171</v>
      </c>
      <c r="H9" s="9">
        <f t="shared" si="0"/>
        <v>3</v>
      </c>
    </row>
    <row r="10" spans="2:8" ht="19.5" customHeight="1">
      <c r="B10" s="11">
        <v>6</v>
      </c>
      <c r="C10" s="12">
        <v>1050</v>
      </c>
      <c r="D10" s="12">
        <v>1024</v>
      </c>
      <c r="E10" s="13">
        <v>45</v>
      </c>
      <c r="F10" s="13">
        <v>90</v>
      </c>
      <c r="G10" s="14" t="s">
        <v>172</v>
      </c>
      <c r="H10" s="13">
        <f t="shared" si="0"/>
        <v>3</v>
      </c>
    </row>
    <row r="11" spans="2:8" ht="19.5" customHeight="1">
      <c r="B11" s="7">
        <v>7</v>
      </c>
      <c r="C11" s="8">
        <v>1500</v>
      </c>
      <c r="D11" s="8">
        <v>1341</v>
      </c>
      <c r="E11" s="9">
        <v>45</v>
      </c>
      <c r="F11" s="9">
        <v>90</v>
      </c>
      <c r="G11" s="10" t="s">
        <v>173</v>
      </c>
      <c r="H11" s="9">
        <f t="shared" si="0"/>
        <v>0</v>
      </c>
    </row>
    <row r="12" spans="2:8" ht="19.5" customHeight="1">
      <c r="B12" s="11">
        <v>8</v>
      </c>
      <c r="C12" s="12">
        <v>2000</v>
      </c>
      <c r="D12" s="12">
        <v>1694</v>
      </c>
      <c r="E12" s="13">
        <v>45</v>
      </c>
      <c r="F12" s="13">
        <v>90</v>
      </c>
      <c r="G12" s="14" t="s">
        <v>173</v>
      </c>
      <c r="H12" s="13">
        <f t="shared" si="0"/>
        <v>0</v>
      </c>
    </row>
    <row r="13" spans="2:8" ht="19.5" customHeight="1">
      <c r="B13" s="7">
        <v>9</v>
      </c>
      <c r="C13" s="8">
        <v>2500</v>
      </c>
      <c r="D13" s="8">
        <v>2048</v>
      </c>
      <c r="E13" s="9">
        <v>45</v>
      </c>
      <c r="F13" s="9">
        <v>90</v>
      </c>
      <c r="G13" s="10" t="s">
        <v>173</v>
      </c>
      <c r="H13" s="9">
        <f t="shared" si="0"/>
        <v>0</v>
      </c>
    </row>
    <row r="14" spans="2:8" ht="19.5" customHeight="1">
      <c r="B14" s="11">
        <v>10</v>
      </c>
      <c r="C14" s="12">
        <v>3000</v>
      </c>
      <c r="D14" s="12">
        <v>2401</v>
      </c>
      <c r="E14" s="13">
        <v>45</v>
      </c>
      <c r="F14" s="13">
        <v>90</v>
      </c>
      <c r="G14" s="14" t="s">
        <v>173</v>
      </c>
      <c r="H14" s="13">
        <f t="shared" si="0"/>
        <v>0</v>
      </c>
    </row>
    <row r="15" spans="2:8" ht="19.5" customHeight="1">
      <c r="B15" s="7">
        <v>11</v>
      </c>
      <c r="C15" s="8">
        <v>3450</v>
      </c>
      <c r="D15" s="8">
        <v>2695</v>
      </c>
      <c r="E15" s="9">
        <v>45</v>
      </c>
      <c r="F15" s="9">
        <v>90</v>
      </c>
      <c r="G15" s="10" t="s">
        <v>174</v>
      </c>
      <c r="H15" s="9">
        <f t="shared" si="0"/>
        <v>0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S1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P8" sqref="AP8"/>
    </sheetView>
  </sheetViews>
  <sheetFormatPr baseColWidth="10" defaultColWidth="8.6640625" defaultRowHeight="15" customHeight="1"/>
  <cols>
    <col min="1" max="1" width="3" customWidth="1"/>
    <col min="2" max="2" width="5" customWidth="1"/>
    <col min="3" max="4" width="11" customWidth="1"/>
    <col min="5" max="5" width="9" customWidth="1"/>
    <col min="6" max="7" width="11" customWidth="1"/>
    <col min="8" max="9" width="12" customWidth="1"/>
    <col min="10" max="10" width="8" customWidth="1"/>
    <col min="11" max="12" width="12" customWidth="1"/>
    <col min="13" max="14" width="14" customWidth="1"/>
    <col min="15" max="15" width="12" customWidth="1"/>
    <col min="16" max="20" width="14" customWidth="1"/>
    <col min="21" max="22" width="13" customWidth="1"/>
    <col min="23" max="23" width="11" customWidth="1"/>
    <col min="24" max="24" width="12" customWidth="1"/>
    <col min="25" max="25" width="22" customWidth="1"/>
  </cols>
  <sheetData>
    <row r="2" spans="2:45" ht="31.5" customHeight="1">
      <c r="B2" s="56" t="s">
        <v>175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2:45" ht="18" customHeight="1">
      <c r="B3" s="55" t="s">
        <v>176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2:45" ht="27.75" customHeight="1">
      <c r="B4" s="1" t="s">
        <v>33</v>
      </c>
      <c r="C4" s="1" t="s">
        <v>177</v>
      </c>
      <c r="D4" s="1" t="s">
        <v>178</v>
      </c>
      <c r="E4" s="1" t="s">
        <v>179</v>
      </c>
      <c r="F4" s="1" t="s">
        <v>180</v>
      </c>
      <c r="G4" s="1" t="s">
        <v>181</v>
      </c>
      <c r="H4" s="1" t="s">
        <v>182</v>
      </c>
      <c r="I4" s="1" t="s">
        <v>35</v>
      </c>
      <c r="J4" s="1" t="s">
        <v>183</v>
      </c>
      <c r="K4" s="1" t="s">
        <v>184</v>
      </c>
      <c r="L4" s="1" t="s">
        <v>185</v>
      </c>
      <c r="M4" s="1" t="s">
        <v>186</v>
      </c>
      <c r="N4" s="1" t="s">
        <v>187</v>
      </c>
      <c r="O4" s="1" t="s">
        <v>188</v>
      </c>
      <c r="P4" s="1" t="s">
        <v>189</v>
      </c>
      <c r="Q4" s="1" t="s">
        <v>190</v>
      </c>
      <c r="R4" s="1" t="s">
        <v>191</v>
      </c>
      <c r="S4" s="1" t="s">
        <v>192</v>
      </c>
      <c r="T4" s="1" t="s">
        <v>193</v>
      </c>
      <c r="U4" s="1" t="s">
        <v>194</v>
      </c>
      <c r="V4" s="1" t="s">
        <v>195</v>
      </c>
      <c r="W4" s="1" t="s">
        <v>196</v>
      </c>
      <c r="X4" s="1" t="s">
        <v>197</v>
      </c>
      <c r="Y4" s="1" t="s">
        <v>198</v>
      </c>
      <c r="Z4" s="28" t="s">
        <v>52</v>
      </c>
      <c r="AA4" s="28" t="s">
        <v>53</v>
      </c>
      <c r="AB4" s="28" t="s">
        <v>55</v>
      </c>
      <c r="AC4" s="28" t="s">
        <v>56</v>
      </c>
      <c r="AD4" s="28" t="s">
        <v>199</v>
      </c>
      <c r="AE4" s="28" t="s">
        <v>200</v>
      </c>
      <c r="AF4" s="28" t="s">
        <v>201</v>
      </c>
      <c r="AG4" s="28" t="s">
        <v>202</v>
      </c>
      <c r="AH4" s="28" t="s">
        <v>203</v>
      </c>
      <c r="AI4" s="28" t="s">
        <v>204</v>
      </c>
      <c r="AJ4" s="28" t="s">
        <v>205</v>
      </c>
      <c r="AK4" s="28" t="s">
        <v>206</v>
      </c>
      <c r="AL4" s="28" t="s">
        <v>207</v>
      </c>
      <c r="AM4" s="28" t="s">
        <v>208</v>
      </c>
      <c r="AN4" s="28" t="s">
        <v>209</v>
      </c>
      <c r="AO4" s="28" t="s">
        <v>210</v>
      </c>
      <c r="AP4" s="28" t="s">
        <v>211</v>
      </c>
      <c r="AQ4" s="28" t="s">
        <v>212</v>
      </c>
      <c r="AR4" s="33" t="s">
        <v>213</v>
      </c>
      <c r="AS4" s="33" t="s">
        <v>214</v>
      </c>
    </row>
    <row r="5" spans="2:45" ht="21.75" customHeight="1">
      <c r="B5" s="7">
        <v>1</v>
      </c>
      <c r="C5" s="15">
        <f>'Профиль ствола'!C5</f>
        <v>0</v>
      </c>
      <c r="D5" s="15">
        <f>'Профиль ствола'!C6</f>
        <v>300</v>
      </c>
      <c r="E5" s="15">
        <f t="shared" ref="E5:E14" si="0">D5-C5</f>
        <v>300</v>
      </c>
      <c r="F5" s="9">
        <f>'Профиль ствола'!E5</f>
        <v>0</v>
      </c>
      <c r="G5" s="9">
        <f>'Профиль ствола'!E6</f>
        <v>0</v>
      </c>
      <c r="H5" s="9">
        <f t="shared" ref="H5:H14" si="1">(F5+G5)/2</f>
        <v>0</v>
      </c>
      <c r="I5" s="10" t="str">
        <f>IF(C5&lt;'Входные данные'!$C$21,"обс.","откр.")</f>
        <v>обс.</v>
      </c>
      <c r="J5" s="16">
        <f>IF(I5="обс.",'Входные данные'!$C$38,'Входные данные'!$C$39)</f>
        <v>0.25</v>
      </c>
      <c r="K5" s="17">
        <f t="shared" ref="K5:K14" si="2">AC5*E5/1000</f>
        <v>20.981999999999999</v>
      </c>
      <c r="L5" s="17">
        <f>K5*'Входные данные'!$C$50</f>
        <v>17.373630573248409</v>
      </c>
      <c r="M5" s="17">
        <f t="shared" ref="M5:M14" si="3">L5*COS(RADIANS(H5))</f>
        <v>17.373630573248409</v>
      </c>
      <c r="N5" s="17">
        <f t="shared" ref="N5:N14" si="4">SQRT((L5*SIN(RADIANS(H5)))^2 + (Q5*ABS(G5-F5)*PI()/180)^2)</f>
        <v>0</v>
      </c>
      <c r="O5" s="17">
        <f t="shared" ref="O5:O14" si="5">N5*J5</f>
        <v>0</v>
      </c>
      <c r="P5" s="17">
        <f t="shared" ref="P5:P13" si="6">O5+P6</f>
        <v>52.949760270357942</v>
      </c>
      <c r="Q5" s="17">
        <f t="shared" ref="Q5:Q13" si="7">M5+Q6</f>
        <v>156.55714023166939</v>
      </c>
      <c r="R5" s="17">
        <f>Q5-P5+'Входные данные'!$C$43</f>
        <v>118.60737996131145</v>
      </c>
      <c r="S5" s="17">
        <f>Q5+P5+'Входные данные'!$C$43</f>
        <v>224.50690050202735</v>
      </c>
      <c r="T5" s="17">
        <f>'Входные данные'!$C$45 - Q6 + P6</f>
        <v>93.766250611936968</v>
      </c>
      <c r="U5" s="17">
        <f>IF(H5&lt;1, 1.94*(('Входные данные'!$C$52*AE5*('Входные данные'!$C$54^2))^(1/3))/('Входные данные'!$C$57*1000), 2*SQRT('Входные данные'!$C$52*AE5*'Входные данные'!$C$54*SIN(RADIANS(H5))/AF5)/('Входные данные'!$C$57*1000))</f>
        <v>3.145718360625827</v>
      </c>
      <c r="V5" s="17">
        <f t="shared" ref="V5:V14" si="8">2*U5</f>
        <v>6.291436721251654</v>
      </c>
      <c r="W5" s="16">
        <f t="shared" ref="W5:W14" si="9">IFERROR(IF(T5&gt;0,T5/V5,0),0)</f>
        <v>14.903789828356182</v>
      </c>
      <c r="X5" s="9">
        <f>'Входные данные'!$C$33+'Входные данные'!$C$34*((C5+D5)/2)/100</f>
        <v>24.5</v>
      </c>
      <c r="Y5" s="10" t="str">
        <f>IF(W5&gt;1,"ОПАСНО: спирал. изгиб",IF(W5&gt;0.5,"Внимание: синус. изгиб",IF(AO5&lt;1,"ОПАСНО: гидроразрыв",IF(AR5&lt;1.15,"ОПАСНО: смятие колонны",IF(AS5&lt;1.1,"ОПАСНО: разрыв колонны",IF(AQ5&lt;1.25,"ОПАСНО: текучесть стали",IF(ROW()=5,IF(S5&gt;'Входные данные'!$C$44,"Превышение затяжки",IF(R5&lt;'Входные данные'!$C$43,"Требуется разгрузка",IF(R5&gt;'Входные данные'!$C$42,"Превышение грузоподъём.","Норма"))),"Норма")))))))</f>
        <v>ОПАСНО: спирал. изгиб</v>
      </c>
      <c r="Z5" s="29">
        <f>LOOKUP((C5+D5)/2, 'Входные данные'!$H$5:$H$7, 'Входные данные'!$J$5:$J$7)</f>
        <v>244.5</v>
      </c>
      <c r="AA5" s="29">
        <f>LOOKUP((C5+D5)/2, 'Входные данные'!$H$5:$H$7, 'Входные данные'!$K$5:$K$7)</f>
        <v>220.5</v>
      </c>
      <c r="AB5" s="29">
        <f>LOOKUP((C5+D5)/2, 'Входные данные'!$H$5:$H$7, 'Входные данные'!$M$5:$M$7)</f>
        <v>758</v>
      </c>
      <c r="AC5" s="29">
        <f>LOOKUP((C5+D5)/2, 'Входные данные'!$H$5:$H$7, 'Входные данные'!$N$5:$N$7)</f>
        <v>69.94</v>
      </c>
      <c r="AD5" s="29">
        <f t="shared" ref="AD5:AD14" si="10">(Z5-AA5)/2</f>
        <v>12</v>
      </c>
      <c r="AE5" s="29">
        <f t="shared" ref="AE5:AE14" si="11">PI()/64*((Z5/1000)^4-(AA5/1000)^4)</f>
        <v>5.938344364392712E-5</v>
      </c>
      <c r="AF5" s="29">
        <f>(IF(I5="обс.", 'Входные данные'!$C$20, 'Входные данные'!$C$19)-Z5)/2000</f>
        <v>3.669999999999999E-2</v>
      </c>
      <c r="AG5" s="30">
        <f>1 / ( 1 / (2 * ('Входные данные'!$C$14 * 1000) / 0.91 / ((Z5/AD5) * (Z5/AD5 - 1)^2)) + 1 / (2 * AB5 * ((Z5/AD5) - 1) / (Z5/AD5)^2) )</f>
        <v>32.567368753162192</v>
      </c>
      <c r="AH5" s="30">
        <f t="shared" ref="AH5:AH14" si="12">0.875 * 2 * AB5 * AD5 / Z5</f>
        <v>65.104294478527606</v>
      </c>
      <c r="AI5" s="30">
        <f>'Входные данные'!$C$30 * 'Входные данные'!$C$57 * 'Профиль ствола'!D6 / 1000000</f>
        <v>3.9730500000000002</v>
      </c>
      <c r="AJ5" s="31">
        <f>'Входные данные'!$C$47 * ( (Z5/1000)^2 / ( (IF(I5="обс.",'Входные данные'!$C$20,'Входные данные'!$C$19)/1000)^2 - (Z5/1000)^2 ) + 0.4 )</f>
        <v>0.9240796789547332</v>
      </c>
      <c r="AK5" s="31">
        <f>12 * ('Входные данные'!$C$31/1000) * AJ5 / (AF5*2)^2 + 6 * 'Входные данные'!$C$32 / (AF5*2)</f>
        <v>1277.6143381579827</v>
      </c>
      <c r="AL5" s="30">
        <f>AK5*E5/1000000</f>
        <v>0.38328430144739484</v>
      </c>
      <c r="AM5" s="30">
        <f t="shared" ref="AM5:AM14" si="13">AI5+AL5</f>
        <v>4.3563343014473954</v>
      </c>
      <c r="AN5" s="31">
        <f>AM5*1000000/('Входные данные'!$C$57*'Профиль ствола'!D6)</f>
        <v>1480.2359162240555</v>
      </c>
      <c r="AO5" s="32">
        <f>'Входные данные'!$C$58/AN5</f>
        <v>1.0809087811363554</v>
      </c>
      <c r="AP5" s="30">
        <f>SQRT(((Q5+P5)*9810/(PI()*(Z5^2-AA5^2)/4))^2 + ('Входные данные'!$C$59*Z5/(2*AD5))^2 + (-( 'Входные данные'!$C$59 + 2*AI5 ) / 2)^2 - ((Q5+P5)*9810/(PI()*(Z5^2-AA5^2)/4))*('Входные данные'!$C$59*Z5/(2*AD5)) - ('Входные данные'!$C$59*Z5/(2*AD5))*(-( 'Входные данные'!$C$59 + 2*AI5 ) / 2) - (-( 'Входные данные'!$C$59 + 2*AI5 ) / 2)*((Q5+P5)*9810/(PI()*(Z5^2-AA5^2)/4)))</f>
        <v>295.52108371012235</v>
      </c>
      <c r="AQ5" s="32">
        <f t="shared" ref="AQ5:AQ14" si="14">AB5/AP5</f>
        <v>2.5649608159380088</v>
      </c>
      <c r="AR5" s="34">
        <f t="shared" ref="AR5:AR14" si="15">AG5/AI5</f>
        <v>8.1970699470588571</v>
      </c>
      <c r="AS5" s="34">
        <f t="shared" ref="AS5:AS14" si="16">AH5/30</f>
        <v>2.1701431492842533</v>
      </c>
    </row>
    <row r="6" spans="2:45" ht="21.75" customHeight="1">
      <c r="B6" s="11">
        <v>2</v>
      </c>
      <c r="C6" s="18">
        <f>'Профиль ствола'!C6</f>
        <v>300</v>
      </c>
      <c r="D6" s="18">
        <f>'Профиль ствола'!C7</f>
        <v>600</v>
      </c>
      <c r="E6" s="18">
        <f t="shared" si="0"/>
        <v>300</v>
      </c>
      <c r="F6" s="13">
        <f>'Профиль ствола'!E6</f>
        <v>0</v>
      </c>
      <c r="G6" s="13">
        <f>'Профиль ствола'!E7</f>
        <v>0</v>
      </c>
      <c r="H6" s="13">
        <f t="shared" si="1"/>
        <v>0</v>
      </c>
      <c r="I6" s="14" t="str">
        <f>IF(C6&lt;'Входные данные'!$C$21,"обс.","откр.")</f>
        <v>обс.</v>
      </c>
      <c r="J6" s="19">
        <f>IF(I6="обс.",'Входные данные'!$C$38,'Входные данные'!$C$39)</f>
        <v>0.25</v>
      </c>
      <c r="K6" s="20">
        <f t="shared" si="2"/>
        <v>20.981999999999999</v>
      </c>
      <c r="L6" s="20">
        <f>K6*'Входные данные'!$C$50</f>
        <v>17.373630573248409</v>
      </c>
      <c r="M6" s="20">
        <f t="shared" si="3"/>
        <v>17.373630573248409</v>
      </c>
      <c r="N6" s="20">
        <f t="shared" si="4"/>
        <v>0</v>
      </c>
      <c r="O6" s="20">
        <f t="shared" si="5"/>
        <v>0</v>
      </c>
      <c r="P6" s="20">
        <f t="shared" si="6"/>
        <v>52.949760270357942</v>
      </c>
      <c r="Q6" s="20">
        <f t="shared" si="7"/>
        <v>139.18350965842097</v>
      </c>
      <c r="R6" s="20">
        <f>Q6-P6+'Входные данные'!$C$43</f>
        <v>101.23374938806303</v>
      </c>
      <c r="S6" s="20">
        <f>Q6+P6+'Входные данные'!$C$43</f>
        <v>207.13326992877893</v>
      </c>
      <c r="T6" s="20">
        <f>'Входные данные'!$C$45 - Q7 + P7</f>
        <v>111.13988118518537</v>
      </c>
      <c r="U6" s="20">
        <f>IF(H6&lt;1, 1.94*(('Входные данные'!$C$52*AE6*('Входные данные'!$C$54^2))^(1/3))/('Входные данные'!$C$57*1000), 2*SQRT('Входные данные'!$C$52*AE6*'Входные данные'!$C$54*SIN(RADIANS(H6))/AF6)/('Входные данные'!$C$57*1000))</f>
        <v>3.145718360625827</v>
      </c>
      <c r="V6" s="20">
        <f t="shared" si="8"/>
        <v>6.291436721251654</v>
      </c>
      <c r="W6" s="19">
        <f t="shared" si="9"/>
        <v>17.665262500339441</v>
      </c>
      <c r="X6" s="13">
        <f>'Входные данные'!$C$33+'Входные данные'!$C$34*((C6+D6)/2)/100</f>
        <v>33.5</v>
      </c>
      <c r="Y6" s="14" t="str">
        <f>IF(W6&gt;1,"ОПАСНО: спирал. изгиб",IF(W6&gt;0.5,"Внимание: синус. изгиб",IF(AO6&lt;1,"ОПАСНО: гидроразрыв",IF(AR6&lt;1.15,"ОПАСНО: смятие колонны",IF(AS6&lt;1.1,"ОПАСНО: разрыв колонны",IF(AQ6&lt;1.25,"ОПАСНО: текучесть стали",IF(ROW()=5,IF(S6&gt;'Входные данные'!$C$44,"Превышение затяжки",IF(R6&lt;'Входные данные'!$C$43,"Требуется разгрузка",IF(R6&gt;'Входные данные'!$C$42,"Превышение грузоподъём.","Норма"))),"Норма")))))))</f>
        <v>ОПАСНО: спирал. изгиб</v>
      </c>
      <c r="Z6" s="29">
        <f>LOOKUP((C6+D6)/2, 'Входные данные'!$H$5:$H$7, 'Входные данные'!$J$5:$J$7)</f>
        <v>244.5</v>
      </c>
      <c r="AA6" s="29">
        <f>LOOKUP((C6+D6)/2, 'Входные данные'!$H$5:$H$7, 'Входные данные'!$K$5:$K$7)</f>
        <v>220.5</v>
      </c>
      <c r="AB6" s="29">
        <f>LOOKUP((C6+D6)/2, 'Входные данные'!$H$5:$H$7, 'Входные данные'!$M$5:$M$7)</f>
        <v>758</v>
      </c>
      <c r="AC6" s="29">
        <f>LOOKUP((C6+D6)/2, 'Входные данные'!$H$5:$H$7, 'Входные данные'!$N$5:$N$7)</f>
        <v>69.94</v>
      </c>
      <c r="AD6" s="29">
        <f t="shared" si="10"/>
        <v>12</v>
      </c>
      <c r="AE6" s="29">
        <f t="shared" si="11"/>
        <v>5.938344364392712E-5</v>
      </c>
      <c r="AF6" s="29">
        <f>(IF(I6="обс.", 'Входные данные'!$C$20, 'Входные данные'!$C$19)-Z6)/2000</f>
        <v>3.669999999999999E-2</v>
      </c>
      <c r="AG6" s="30">
        <f>1 / ( 1 / (2 * ('Входные данные'!$C$14 * 1000) / 0.91 / ((Z6/AD6) * (Z6/AD6 - 1)^2)) + 1 / (2 * AB6 * ((Z6/AD6) - 1) / (Z6/AD6)^2) )</f>
        <v>32.567368753162192</v>
      </c>
      <c r="AH6" s="30">
        <f t="shared" si="12"/>
        <v>65.104294478527606</v>
      </c>
      <c r="AI6" s="30">
        <f>'Входные данные'!$C$30 * 'Входные данные'!$C$57 * 'Профиль ствола'!D7 / 1000000</f>
        <v>7.9461000000000004</v>
      </c>
      <c r="AJ6" s="31">
        <f>'Входные данные'!$C$47 * ( (Z6/1000)^2 / ( (IF(I6="обс.",'Входные данные'!$C$20,'Входные данные'!$C$19)/1000)^2 - (Z6/1000)^2 ) + 0.4 )</f>
        <v>0.9240796789547332</v>
      </c>
      <c r="AK6" s="31">
        <f>12 * ('Входные данные'!$C$31/1000) * AJ6 / (AF6*2)^2 + 6 * 'Входные данные'!$C$32 / (AF6*2)</f>
        <v>1277.6143381579827</v>
      </c>
      <c r="AL6" s="30">
        <f t="shared" ref="AL6:AL14" si="17">AL5+AK6*E6/1000000</f>
        <v>0.76656860289478967</v>
      </c>
      <c r="AM6" s="30">
        <f t="shared" si="13"/>
        <v>8.7126686028947908</v>
      </c>
      <c r="AN6" s="31">
        <f>AM6*1000000/('Входные данные'!$C$57*'Профиль ствола'!D7)</f>
        <v>1480.2359162240555</v>
      </c>
      <c r="AO6" s="32">
        <f>'Входные данные'!$C$58/AN6</f>
        <v>1.0809087811363554</v>
      </c>
      <c r="AP6" s="30">
        <f>SQRT(((Q6+P6)*9810/(PI()*(Z6^2-AA6^2)/4))^2 + ('Входные данные'!$C$59*Z6/(2*AD6))^2 + (-( 'Входные данные'!$C$59 + 2*AI6 ) / 2)^2 - ((Q6+P6)*9810/(PI()*(Z6^2-AA6^2)/4))*('Входные данные'!$C$59*Z6/(2*AD6)) - ('Входные данные'!$C$59*Z6/(2*AD6))*(-( 'Входные данные'!$C$59 + 2*AI6 ) / 2) - (-( 'Входные данные'!$C$59 + 2*AI6 ) / 2)*((Q6+P6)*9810/(PI()*(Z6^2-AA6^2)/4)))</f>
        <v>293.94024812143107</v>
      </c>
      <c r="AQ6" s="32">
        <f t="shared" si="14"/>
        <v>2.5787553927860163</v>
      </c>
      <c r="AR6" s="34">
        <f t="shared" si="15"/>
        <v>4.0985349735294285</v>
      </c>
      <c r="AS6" s="34">
        <f t="shared" si="16"/>
        <v>2.1701431492842533</v>
      </c>
    </row>
    <row r="7" spans="2:45" ht="21.75" customHeight="1">
      <c r="B7" s="7">
        <v>3</v>
      </c>
      <c r="C7" s="15">
        <f>'Профиль ствола'!C7</f>
        <v>600</v>
      </c>
      <c r="D7" s="15">
        <f>'Профиль ствола'!C8</f>
        <v>750</v>
      </c>
      <c r="E7" s="15">
        <f t="shared" si="0"/>
        <v>150</v>
      </c>
      <c r="F7" s="9">
        <f>'Профиль ствола'!E7</f>
        <v>0</v>
      </c>
      <c r="G7" s="9">
        <f>'Профиль ствола'!E8</f>
        <v>15</v>
      </c>
      <c r="H7" s="9">
        <f t="shared" si="1"/>
        <v>7.5</v>
      </c>
      <c r="I7" s="10" t="str">
        <f>IF(C7&lt;'Входные данные'!$C$21,"обс.","откр.")</f>
        <v>обс.</v>
      </c>
      <c r="J7" s="16">
        <f>IF(I7="обс.",'Входные данные'!$C$38,'Входные данные'!$C$39)</f>
        <v>0.25</v>
      </c>
      <c r="K7" s="17">
        <f t="shared" si="2"/>
        <v>10.491</v>
      </c>
      <c r="L7" s="17">
        <f>K7*'Входные данные'!$C$50</f>
        <v>8.6868152866242045</v>
      </c>
      <c r="M7" s="17">
        <f t="shared" si="3"/>
        <v>8.6124983776270305</v>
      </c>
      <c r="N7" s="17">
        <f t="shared" si="4"/>
        <v>31.909902845726965</v>
      </c>
      <c r="O7" s="17">
        <f t="shared" si="5"/>
        <v>7.9774757114317412</v>
      </c>
      <c r="P7" s="17">
        <f t="shared" si="6"/>
        <v>52.949760270357942</v>
      </c>
      <c r="Q7" s="17">
        <f t="shared" si="7"/>
        <v>121.80987908517257</v>
      </c>
      <c r="R7" s="17">
        <f>Q7-P7+'Входные данные'!$C$43</f>
        <v>83.860118814814626</v>
      </c>
      <c r="S7" s="17">
        <f>Q7+P7+'Входные данные'!$C$43</f>
        <v>189.75963935553051</v>
      </c>
      <c r="T7" s="17">
        <f>'Входные данные'!$C$45 - Q8 + P8</f>
        <v>111.77490385138066</v>
      </c>
      <c r="U7" s="17">
        <f>IF(H7&lt;1, 1.94*(('Входные данные'!$C$52*AE7*('Входные данные'!$C$54^2))^(1/3))/('Входные данные'!$C$57*1000), 2*SQRT('Входные данные'!$C$52*AE7*'Входные данные'!$C$54*SIN(RADIANS(H7))/AF7)/('Входные данные'!$C$57*1000))</f>
        <v>32.362219176910529</v>
      </c>
      <c r="V7" s="17">
        <f t="shared" si="8"/>
        <v>64.724438353821057</v>
      </c>
      <c r="W7" s="16">
        <f t="shared" si="9"/>
        <v>1.7269350911993189</v>
      </c>
      <c r="X7" s="9">
        <f>'Входные данные'!$C$33+'Входные данные'!$C$34*((C7+D7)/2)/100</f>
        <v>40.25</v>
      </c>
      <c r="Y7" s="10" t="str">
        <f>IF(W7&gt;1,"ОПАСНО: спирал. изгиб",IF(W7&gt;0.5,"Внимание: синус. изгиб",IF(AO7&lt;1,"ОПАСНО: гидроразрыв",IF(AR7&lt;1.15,"ОПАСНО: смятие колонны",IF(AS7&lt;1.1,"ОПАСНО: разрыв колонны",IF(AQ7&lt;1.25,"ОПАСНО: текучесть стали",IF(ROW()=5,IF(S7&gt;'Входные данные'!$C$44,"Превышение затяжки",IF(R7&lt;'Входные данные'!$C$43,"Требуется разгрузка",IF(R7&gt;'Входные данные'!$C$42,"Превышение грузоподъём.","Норма"))),"Норма")))))))</f>
        <v>ОПАСНО: спирал. изгиб</v>
      </c>
      <c r="Z7" s="29">
        <f>LOOKUP((C7+D7)/2, 'Входные данные'!$H$5:$H$7, 'Входные данные'!$J$5:$J$7)</f>
        <v>244.5</v>
      </c>
      <c r="AA7" s="29">
        <f>LOOKUP((C7+D7)/2, 'Входные данные'!$H$5:$H$7, 'Входные данные'!$K$5:$K$7)</f>
        <v>220.5</v>
      </c>
      <c r="AB7" s="29">
        <f>LOOKUP((C7+D7)/2, 'Входные данные'!$H$5:$H$7, 'Входные данные'!$M$5:$M$7)</f>
        <v>758</v>
      </c>
      <c r="AC7" s="29">
        <f>LOOKUP((C7+D7)/2, 'Входные данные'!$H$5:$H$7, 'Входные данные'!$N$5:$N$7)</f>
        <v>69.94</v>
      </c>
      <c r="AD7" s="29">
        <f t="shared" si="10"/>
        <v>12</v>
      </c>
      <c r="AE7" s="29">
        <f t="shared" si="11"/>
        <v>5.938344364392712E-5</v>
      </c>
      <c r="AF7" s="29">
        <f>(IF(I7="обс.", 'Входные данные'!$C$20, 'Входные данные'!$C$19)-Z7)/2000</f>
        <v>3.669999999999999E-2</v>
      </c>
      <c r="AG7" s="30">
        <f>1 / ( 1 / (2 * ('Входные данные'!$C$14 * 1000) / 0.91 / ((Z7/AD7) * (Z7/AD7 - 1)^2)) + 1 / (2 * AB7 * ((Z7/AD7) - 1) / (Z7/AD7)^2) )</f>
        <v>32.567368753162192</v>
      </c>
      <c r="AH7" s="30">
        <f t="shared" si="12"/>
        <v>65.104294478527606</v>
      </c>
      <c r="AI7" s="30">
        <f>'Входные данные'!$C$30 * 'Входные данные'!$C$57 * 'Профиль ствола'!D8 / 1000000</f>
        <v>9.9061380000000003</v>
      </c>
      <c r="AJ7" s="31">
        <f>'Входные данные'!$C$47 * ( (Z7/1000)^2 / ( (IF(I7="обс.",'Входные данные'!$C$20,'Входные данные'!$C$19)/1000)^2 - (Z7/1000)^2 ) + 0.4 )</f>
        <v>0.9240796789547332</v>
      </c>
      <c r="AK7" s="31">
        <f>12 * ('Входные данные'!$C$31/1000) * AJ7 / (AF7*2)^2 + 6 * 'Входные данные'!$C$32 / (AF7*2)</f>
        <v>1277.6143381579827</v>
      </c>
      <c r="AL7" s="30">
        <f t="shared" si="17"/>
        <v>0.95821075361848707</v>
      </c>
      <c r="AM7" s="30">
        <f t="shared" si="13"/>
        <v>10.864348753618488</v>
      </c>
      <c r="AN7" s="31">
        <f>AM7*1000000/('Входные данные'!$C$57*'Профиль ствола'!D8)</f>
        <v>1480.5841405989861</v>
      </c>
      <c r="AO7" s="32">
        <f>'Входные данные'!$C$58/AN7</f>
        <v>1.0806545579724385</v>
      </c>
      <c r="AP7" s="30">
        <f>SQRT(((Q7+P7)*9810/(PI()*(Z7^2-AA7^2)/4))^2 + ('Входные данные'!$C$59*Z7/(2*AD7))^2 + (-( 'Входные данные'!$C$59 + 2*AI7 ) / 2)^2 - ((Q7+P7)*9810/(PI()*(Z7^2-AA7^2)/4))*('Входные данные'!$C$59*Z7/(2*AD7)) - ('Входные данные'!$C$59*Z7/(2*AD7))*(-( 'Входные данные'!$C$59 + 2*AI7 ) / 2) - (-( 'Входные данные'!$C$59 + 2*AI7 ) / 2)*((Q7+P7)*9810/(PI()*(Z7^2-AA7^2)/4)))</f>
        <v>291.52874560330389</v>
      </c>
      <c r="AQ7" s="32">
        <f t="shared" si="14"/>
        <v>2.6000866515971097</v>
      </c>
      <c r="AR7" s="34">
        <f t="shared" si="15"/>
        <v>3.2875948985530172</v>
      </c>
      <c r="AS7" s="34">
        <f t="shared" si="16"/>
        <v>2.1701431492842533</v>
      </c>
    </row>
    <row r="8" spans="2:45" ht="21.75" customHeight="1">
      <c r="B8" s="11">
        <v>4</v>
      </c>
      <c r="C8" s="18">
        <f>'Профиль ствола'!C8</f>
        <v>750</v>
      </c>
      <c r="D8" s="18">
        <f>'Профиль ствола'!C9</f>
        <v>900</v>
      </c>
      <c r="E8" s="18">
        <f t="shared" si="0"/>
        <v>150</v>
      </c>
      <c r="F8" s="13">
        <f>'Профиль ствола'!E8</f>
        <v>15</v>
      </c>
      <c r="G8" s="13">
        <f>'Профиль ствола'!E9</f>
        <v>30</v>
      </c>
      <c r="H8" s="13">
        <f t="shared" si="1"/>
        <v>22.5</v>
      </c>
      <c r="I8" s="14" t="str">
        <f>IF(C8&lt;'Входные данные'!$C$21,"обс.","откр.")</f>
        <v>обс.</v>
      </c>
      <c r="J8" s="19">
        <f>IF(I8="обс.",'Входные данные'!$C$38,'Входные данные'!$C$39)</f>
        <v>0.25</v>
      </c>
      <c r="K8" s="20">
        <f t="shared" si="2"/>
        <v>10.491</v>
      </c>
      <c r="L8" s="20">
        <f>K8*'Входные данные'!$C$50</f>
        <v>8.6868152866242045</v>
      </c>
      <c r="M8" s="20">
        <f t="shared" si="3"/>
        <v>8.0255708460182689</v>
      </c>
      <c r="N8" s="20">
        <f t="shared" si="4"/>
        <v>29.820873427412742</v>
      </c>
      <c r="O8" s="20">
        <f t="shared" si="5"/>
        <v>7.4552183568531856</v>
      </c>
      <c r="P8" s="20">
        <f t="shared" si="6"/>
        <v>44.972284558926198</v>
      </c>
      <c r="Q8" s="20">
        <f t="shared" si="7"/>
        <v>113.19738070754553</v>
      </c>
      <c r="R8" s="20">
        <f>Q8-P8+'Входные данные'!$C$43</f>
        <v>83.225096148619343</v>
      </c>
      <c r="S8" s="20">
        <f>Q8+P8+'Входные данные'!$C$43</f>
        <v>173.16966526647172</v>
      </c>
      <c r="T8" s="20">
        <f>'Входные данные'!$C$45 - Q9 + P9</f>
        <v>112.34525634054575</v>
      </c>
      <c r="U8" s="20">
        <f>IF(H8&lt;1, 1.94*(('Входные данные'!$C$52*AE8*('Входные данные'!$C$54^2))^(1/3))/('Входные данные'!$C$57*1000), 2*SQRT('Входные данные'!$C$52*AE8*'Входные данные'!$C$54*SIN(RADIANS(H8))/AF8)/('Входные данные'!$C$57*1000))</f>
        <v>55.412697320216473</v>
      </c>
      <c r="V8" s="20">
        <f t="shared" si="8"/>
        <v>110.82539464043295</v>
      </c>
      <c r="W8" s="19">
        <f t="shared" si="9"/>
        <v>1.0137140201940531</v>
      </c>
      <c r="X8" s="13">
        <f>'Входные данные'!$C$33+'Входные данные'!$C$34*((C8+D8)/2)/100</f>
        <v>44.75</v>
      </c>
      <c r="Y8" s="14" t="str">
        <f>IF(W8&gt;1,"ОПАСНО: спирал. изгиб",IF(W8&gt;0.5,"Внимание: синус. изгиб",IF(AO8&lt;1,"ОПАСНО: гидроразрыв",IF(AR8&lt;1.15,"ОПАСНО: смятие колонны",IF(AS8&lt;1.1,"ОПАСНО: разрыв колонны",IF(AQ8&lt;1.25,"ОПАСНО: текучесть стали",IF(ROW()=5,IF(S8&gt;'Входные данные'!$C$44,"Превышение затяжки",IF(R8&lt;'Входные данные'!$C$43,"Требуется разгрузка",IF(R8&gt;'Входные данные'!$C$42,"Превышение грузоподъём.","Норма"))),"Норма")))))))</f>
        <v>ОПАСНО: спирал. изгиб</v>
      </c>
      <c r="Z8" s="29">
        <f>LOOKUP((C8+D8)/2, 'Входные данные'!$H$5:$H$7, 'Входные данные'!$J$5:$J$7)</f>
        <v>244.5</v>
      </c>
      <c r="AA8" s="29">
        <f>LOOKUP((C8+D8)/2, 'Входные данные'!$H$5:$H$7, 'Входные данные'!$K$5:$K$7)</f>
        <v>220.5</v>
      </c>
      <c r="AB8" s="29">
        <f>LOOKUP((C8+D8)/2, 'Входные данные'!$H$5:$H$7, 'Входные данные'!$M$5:$M$7)</f>
        <v>758</v>
      </c>
      <c r="AC8" s="29">
        <f>LOOKUP((C8+D8)/2, 'Входные данные'!$H$5:$H$7, 'Входные данные'!$N$5:$N$7)</f>
        <v>69.94</v>
      </c>
      <c r="AD8" s="29">
        <f t="shared" si="10"/>
        <v>12</v>
      </c>
      <c r="AE8" s="29">
        <f t="shared" si="11"/>
        <v>5.938344364392712E-5</v>
      </c>
      <c r="AF8" s="29">
        <f>(IF(I8="обс.", 'Входные данные'!$C$20, 'Входные данные'!$C$19)-Z8)/2000</f>
        <v>3.669999999999999E-2</v>
      </c>
      <c r="AG8" s="30">
        <f>1 / ( 1 / (2 * ('Входные данные'!$C$14 * 1000) / 0.91 / ((Z8/AD8) * (Z8/AD8 - 1)^2)) + 1 / (2 * AB8 * ((Z8/AD8) - 1) / (Z8/AD8)^2) )</f>
        <v>32.567368753162192</v>
      </c>
      <c r="AH8" s="30">
        <f t="shared" si="12"/>
        <v>65.104294478527606</v>
      </c>
      <c r="AI8" s="30">
        <f>'Входные данные'!$C$30 * 'Входные данные'!$C$57 * 'Профиль ствола'!D9 / 1000000</f>
        <v>11.799958500000001</v>
      </c>
      <c r="AJ8" s="31">
        <f>'Входные данные'!$C$47 * ( (Z8/1000)^2 / ( (IF(I8="обс.",'Входные данные'!$C$20,'Входные данные'!$C$19)/1000)^2 - (Z8/1000)^2 ) + 0.4 )</f>
        <v>0.9240796789547332</v>
      </c>
      <c r="AK8" s="31">
        <f>12 * ('Входные данные'!$C$31/1000) * AJ8 / (AF8*2)^2 + 6 * 'Входные данные'!$C$32 / (AF8*2)</f>
        <v>1277.6143381579827</v>
      </c>
      <c r="AL8" s="30">
        <f t="shared" si="17"/>
        <v>1.1498529043421846</v>
      </c>
      <c r="AM8" s="30">
        <f t="shared" si="13"/>
        <v>12.949811404342185</v>
      </c>
      <c r="AN8" s="31">
        <f>AM8*1000000/('Входные данные'!$C$57*'Профиль ствола'!D9)</f>
        <v>1481.5514305293489</v>
      </c>
      <c r="AO8" s="32">
        <f>'Входные данные'!$C$58/AN8</f>
        <v>1.0799490095516497</v>
      </c>
      <c r="AP8" s="30">
        <f>SQRT(((Q8+P8)*9810/(PI()*(Z8^2-AA8^2)/4))^2 + ('Входные данные'!$C$59*Z8/(2*AD8))^2 + (-( 'Входные данные'!$C$59 + 2*AI8 ) / 2)^2 - ((Q8+P8)*9810/(PI()*(Z8^2-AA8^2)/4))*('Входные данные'!$C$59*Z8/(2*AD8)) - ('Входные данные'!$C$59*Z8/(2*AD8))*(-( 'Входные данные'!$C$59 + 2*AI8 ) / 2) - (-( 'Входные данные'!$C$59 + 2*AI8 ) / 2)*((Q8+P8)*9810/(PI()*(Z8^2-AA8^2)/4)))</f>
        <v>290.33527416653129</v>
      </c>
      <c r="AQ8" s="32">
        <f t="shared" si="14"/>
        <v>2.6107747402584791</v>
      </c>
      <c r="AR8" s="34">
        <f t="shared" si="15"/>
        <v>2.7599562111309281</v>
      </c>
      <c r="AS8" s="34">
        <f t="shared" si="16"/>
        <v>2.1701431492842533</v>
      </c>
    </row>
    <row r="9" spans="2:45" ht="21.75" customHeight="1">
      <c r="B9" s="7">
        <v>5</v>
      </c>
      <c r="C9" s="15">
        <f>'Профиль ствола'!C9</f>
        <v>900</v>
      </c>
      <c r="D9" s="15">
        <f>'Профиль ствола'!C10</f>
        <v>1050</v>
      </c>
      <c r="E9" s="15">
        <f t="shared" si="0"/>
        <v>150</v>
      </c>
      <c r="F9" s="9">
        <f>'Профиль ствола'!E9</f>
        <v>30</v>
      </c>
      <c r="G9" s="9">
        <f>'Профиль ствола'!E10</f>
        <v>45</v>
      </c>
      <c r="H9" s="9">
        <f t="shared" si="1"/>
        <v>37.5</v>
      </c>
      <c r="I9" s="10" t="str">
        <f>IF(C9&lt;'Входные данные'!$C$21,"обс.","откр.")</f>
        <v>обс.</v>
      </c>
      <c r="J9" s="16">
        <f>IF(I9="обс.",'Входные данные'!$C$38,'Входные данные'!$C$39)</f>
        <v>0.25</v>
      </c>
      <c r="K9" s="17">
        <f t="shared" si="2"/>
        <v>10.491</v>
      </c>
      <c r="L9" s="17">
        <f>K9*'Входные данные'!$C$50</f>
        <v>8.6868152866242045</v>
      </c>
      <c r="M9" s="17">
        <f t="shared" si="3"/>
        <v>6.8917139241362761</v>
      </c>
      <c r="N9" s="17">
        <f t="shared" si="4"/>
        <v>28.037145686031572</v>
      </c>
      <c r="O9" s="17">
        <f t="shared" si="5"/>
        <v>7.0092864215078929</v>
      </c>
      <c r="P9" s="17">
        <f t="shared" si="6"/>
        <v>37.517066202073011</v>
      </c>
      <c r="Q9" s="17">
        <f t="shared" si="7"/>
        <v>105.17180986152727</v>
      </c>
      <c r="R9" s="17">
        <f>Q9-P9+'Входные данные'!$C$43</f>
        <v>82.654743659454255</v>
      </c>
      <c r="S9" s="17">
        <f>Q9+P9+'Входные данные'!$C$43</f>
        <v>157.68887606360028</v>
      </c>
      <c r="T9" s="17">
        <f>'Входные данные'!$C$45 - Q10 + P10</f>
        <v>112.22768384317412</v>
      </c>
      <c r="U9" s="17">
        <f>IF(H9&lt;1, 1.94*(('Входные данные'!$C$52*AE9*('Входные данные'!$C$54^2))^(1/3))/('Входные данные'!$C$57*1000), 2*SQRT('Входные данные'!$C$52*AE9*'Входные данные'!$C$54*SIN(RADIANS(H9))/AF9)/('Входные данные'!$C$57*1000))</f>
        <v>69.889675562240313</v>
      </c>
      <c r="V9" s="17">
        <f t="shared" si="8"/>
        <v>139.77935112448063</v>
      </c>
      <c r="W9" s="16">
        <f t="shared" si="9"/>
        <v>0.80289172141906462</v>
      </c>
      <c r="X9" s="9">
        <f>'Входные данные'!$C$33+'Входные данные'!$C$34*((C9+D9)/2)/100</f>
        <v>49.25</v>
      </c>
      <c r="Y9" s="10" t="str">
        <f>IF(W9&gt;1,"ОПАСНО: спирал. изгиб",IF(W9&gt;0.5,"Внимание: синус. изгиб",IF(AO9&lt;1,"ОПАСНО: гидроразрыв",IF(AR9&lt;1.15,"ОПАСНО: смятие колонны",IF(AS9&lt;1.1,"ОПАСНО: разрыв колонны",IF(AQ9&lt;1.25,"ОПАСНО: текучесть стали",IF(ROW()=5,IF(S9&gt;'Входные данные'!$C$44,"Превышение затяжки",IF(R9&lt;'Входные данные'!$C$43,"Требуется разгрузка",IF(R9&gt;'Входные данные'!$C$42,"Превышение грузоподъём.","Норма"))),"Норма")))))))</f>
        <v>Внимание: синус. изгиб</v>
      </c>
      <c r="Z9" s="29">
        <f>LOOKUP((C9+D9)/2, 'Входные данные'!$H$5:$H$7, 'Входные данные'!$J$5:$J$7)</f>
        <v>244.5</v>
      </c>
      <c r="AA9" s="29">
        <f>LOOKUP((C9+D9)/2, 'Входные данные'!$H$5:$H$7, 'Входные данные'!$K$5:$K$7)</f>
        <v>220.5</v>
      </c>
      <c r="AB9" s="29">
        <f>LOOKUP((C9+D9)/2, 'Входные данные'!$H$5:$H$7, 'Входные данные'!$M$5:$M$7)</f>
        <v>758</v>
      </c>
      <c r="AC9" s="29">
        <f>LOOKUP((C9+D9)/2, 'Входные данные'!$H$5:$H$7, 'Входные данные'!$N$5:$N$7)</f>
        <v>69.94</v>
      </c>
      <c r="AD9" s="29">
        <f t="shared" si="10"/>
        <v>12</v>
      </c>
      <c r="AE9" s="29">
        <f t="shared" si="11"/>
        <v>5.938344364392712E-5</v>
      </c>
      <c r="AF9" s="29">
        <f>(IF(I9="обс.", 'Входные данные'!$C$20, 'Входные данные'!$C$19)-Z9)/2000</f>
        <v>3.669999999999999E-2</v>
      </c>
      <c r="AG9" s="30">
        <f>1 / ( 1 / (2 * ('Входные данные'!$C$14 * 1000) / 0.91 / ((Z9/AD9) * (Z9/AD9 - 1)^2)) + 1 / (2 * AB9 * ((Z9/AD9) - 1) / (Z9/AD9)^2) )</f>
        <v>32.567368753162192</v>
      </c>
      <c r="AH9" s="30">
        <f t="shared" si="12"/>
        <v>65.104294478527606</v>
      </c>
      <c r="AI9" s="30">
        <f>'Входные данные'!$C$30 * 'Входные данные'!$C$57 * 'Профиль ствола'!D10 / 1000000</f>
        <v>13.561344</v>
      </c>
      <c r="AJ9" s="31">
        <f>'Входные данные'!$C$47 * ( (Z9/1000)^2 / ( (IF(I9="обс.",'Входные данные'!$C$20,'Входные данные'!$C$19)/1000)^2 - (Z9/1000)^2 ) + 0.4 )</f>
        <v>0.9240796789547332</v>
      </c>
      <c r="AK9" s="31">
        <f>12 * ('Входные данные'!$C$31/1000) * AJ9 / (AF9*2)^2 + 6 * 'Входные данные'!$C$32 / (AF9*2)</f>
        <v>1277.6143381579827</v>
      </c>
      <c r="AL9" s="30">
        <f t="shared" si="17"/>
        <v>1.341495055065882</v>
      </c>
      <c r="AM9" s="30">
        <f t="shared" si="13"/>
        <v>14.902839055065883</v>
      </c>
      <c r="AN9" s="31">
        <f>AM9*1000000/('Входные данные'!$C$57*'Профиль ствола'!D10)</f>
        <v>1483.5426875344317</v>
      </c>
      <c r="AO9" s="32">
        <f>'Входные данные'!$C$58/AN9</f>
        <v>1.078499468498014</v>
      </c>
      <c r="AP9" s="30">
        <f>SQRT(((Q9+P9)*9810/(PI()*(Z9^2-AA9^2)/4))^2 + ('Входные данные'!$C$59*Z9/(2*AD9))^2 + (-( 'Входные данные'!$C$59 + 2*AI9 ) / 2)^2 - ((Q9+P9)*9810/(PI()*(Z9^2-AA9^2)/4))*('Входные данные'!$C$59*Z9/(2*AD9)) - ('Входные данные'!$C$59*Z9/(2*AD9))*(-( 'Входные данные'!$C$59 + 2*AI9 ) / 2) - (-( 'Входные данные'!$C$59 + 2*AI9 ) / 2)*((Q9+P9)*9810/(PI()*(Z9^2-AA9^2)/4)))</f>
        <v>290.18697068230762</v>
      </c>
      <c r="AQ9" s="32">
        <f t="shared" si="14"/>
        <v>2.6121090075744551</v>
      </c>
      <c r="AR9" s="34">
        <f t="shared" si="15"/>
        <v>2.4014853360523993</v>
      </c>
      <c r="AS9" s="34">
        <f t="shared" si="16"/>
        <v>2.1701431492842533</v>
      </c>
    </row>
    <row r="10" spans="2:45" ht="21.75" customHeight="1">
      <c r="B10" s="11">
        <v>6</v>
      </c>
      <c r="C10" s="18">
        <f>'Профиль ствола'!C10</f>
        <v>1050</v>
      </c>
      <c r="D10" s="18">
        <f>'Профиль ствола'!C11</f>
        <v>1500</v>
      </c>
      <c r="E10" s="18">
        <f t="shared" si="0"/>
        <v>450</v>
      </c>
      <c r="F10" s="13">
        <f>'Профиль ствола'!E10</f>
        <v>45</v>
      </c>
      <c r="G10" s="13">
        <f>'Профиль ствола'!E11</f>
        <v>45</v>
      </c>
      <c r="H10" s="13">
        <f t="shared" si="1"/>
        <v>45</v>
      </c>
      <c r="I10" s="14" t="str">
        <f>IF(C10&lt;'Входные данные'!$C$21,"обс.","откр.")</f>
        <v>обс.</v>
      </c>
      <c r="J10" s="19">
        <f>IF(I10="обс.",'Входные данные'!$C$38,'Входные данные'!$C$39)</f>
        <v>0.25</v>
      </c>
      <c r="K10" s="20">
        <f t="shared" si="2"/>
        <v>31.472999999999999</v>
      </c>
      <c r="L10" s="20">
        <f>K10*'Входные данные'!$C$50</f>
        <v>26.060445859872612</v>
      </c>
      <c r="M10" s="20">
        <f t="shared" si="3"/>
        <v>18.427517988260814</v>
      </c>
      <c r="N10" s="20">
        <f t="shared" si="4"/>
        <v>18.42751798826081</v>
      </c>
      <c r="O10" s="20">
        <f t="shared" si="5"/>
        <v>4.6068794970652025</v>
      </c>
      <c r="P10" s="20">
        <f t="shared" si="6"/>
        <v>30.507779780565116</v>
      </c>
      <c r="Q10" s="20">
        <f t="shared" si="7"/>
        <v>98.280095937390996</v>
      </c>
      <c r="R10" s="20">
        <f>Q10-P10+'Входные данные'!$C$43</f>
        <v>82.77231615682588</v>
      </c>
      <c r="S10" s="20">
        <f>Q10+P10+'Входные данные'!$C$43</f>
        <v>143.78787571795613</v>
      </c>
      <c r="T10" s="20">
        <f>'Входные данные'!$C$45 - Q11 + P11</f>
        <v>126.04832233436973</v>
      </c>
      <c r="U10" s="20">
        <f>IF(H10&lt;1, 1.94*(('Входные данные'!$C$52*AE10*('Входные данные'!$C$54^2))^(1/3))/('Входные данные'!$C$57*1000), 2*SQRT('Входные данные'!$C$52*AE10*'Входные данные'!$C$54*SIN(RADIANS(H10))/AF10)/('Входные данные'!$C$57*1000))</f>
        <v>75.323754911138579</v>
      </c>
      <c r="V10" s="20">
        <f t="shared" si="8"/>
        <v>150.64750982227716</v>
      </c>
      <c r="W10" s="19">
        <f t="shared" si="9"/>
        <v>0.83671029466781266</v>
      </c>
      <c r="X10" s="13">
        <f>'Входные данные'!$C$33+'Входные данные'!$C$34*((C10+D10)/2)/100</f>
        <v>58.25</v>
      </c>
      <c r="Y10" s="14" t="str">
        <f>IF(W10&gt;1,"ОПАСНО: спирал. изгиб",IF(W10&gt;0.5,"Внимание: синус. изгиб",IF(AO10&lt;1,"ОПАСНО: гидроразрыв",IF(AR10&lt;1.15,"ОПАСНО: смятие колонны",IF(AS10&lt;1.1,"ОПАСНО: разрыв колонны",IF(AQ10&lt;1.25,"ОПАСНО: текучесть стали",IF(ROW()=5,IF(S10&gt;'Входные данные'!$C$44,"Превышение затяжки",IF(R10&lt;'Входные данные'!$C$43,"Требуется разгрузка",IF(R10&gt;'Входные данные'!$C$42,"Превышение грузоподъём.","Норма"))),"Норма")))))))</f>
        <v>Внимание: синус. изгиб</v>
      </c>
      <c r="Z10" s="29">
        <f>LOOKUP((C10+D10)/2, 'Входные данные'!$H$5:$H$7, 'Входные данные'!$J$5:$J$7)</f>
        <v>244.5</v>
      </c>
      <c r="AA10" s="29">
        <f>LOOKUP((C10+D10)/2, 'Входные данные'!$H$5:$H$7, 'Входные данные'!$K$5:$K$7)</f>
        <v>220.5</v>
      </c>
      <c r="AB10" s="29">
        <f>LOOKUP((C10+D10)/2, 'Входные данные'!$H$5:$H$7, 'Входные данные'!$M$5:$M$7)</f>
        <v>758</v>
      </c>
      <c r="AC10" s="29">
        <f>LOOKUP((C10+D10)/2, 'Входные данные'!$H$5:$H$7, 'Входные данные'!$N$5:$N$7)</f>
        <v>69.94</v>
      </c>
      <c r="AD10" s="29">
        <f t="shared" si="10"/>
        <v>12</v>
      </c>
      <c r="AE10" s="29">
        <f t="shared" si="11"/>
        <v>5.938344364392712E-5</v>
      </c>
      <c r="AF10" s="29">
        <f>(IF(I10="обс.", 'Входные данные'!$C$20, 'Входные данные'!$C$19)-Z10)/2000</f>
        <v>3.669999999999999E-2</v>
      </c>
      <c r="AG10" s="30">
        <f>1 / ( 1 / (2 * ('Входные данные'!$C$14 * 1000) / 0.91 / ((Z10/AD10) * (Z10/AD10 - 1)^2)) + 1 / (2 * AB10 * ((Z10/AD10) - 1) / (Z10/AD10)^2) )</f>
        <v>32.567368753162192</v>
      </c>
      <c r="AH10" s="30">
        <f t="shared" si="12"/>
        <v>65.104294478527606</v>
      </c>
      <c r="AI10" s="30">
        <f>'Входные данные'!$C$30 * 'Входные данные'!$C$57 * 'Профиль ствола'!D11 / 1000000</f>
        <v>17.7595335</v>
      </c>
      <c r="AJ10" s="31">
        <f>'Входные данные'!$C$47 * ( (Z10/1000)^2 / ( (IF(I10="обс.",'Входные данные'!$C$20,'Входные данные'!$C$19)/1000)^2 - (Z10/1000)^2 ) + 0.4 )</f>
        <v>0.9240796789547332</v>
      </c>
      <c r="AK10" s="31">
        <f>12 * ('Входные данные'!$C$31/1000) * AJ10 / (AF10*2)^2 + 6 * 'Входные данные'!$C$32 / (AF10*2)</f>
        <v>1277.6143381579827</v>
      </c>
      <c r="AL10" s="30">
        <f t="shared" si="17"/>
        <v>1.9164215072369744</v>
      </c>
      <c r="AM10" s="30">
        <f t="shared" si="13"/>
        <v>19.675955007236976</v>
      </c>
      <c r="AN10" s="31">
        <f>AM10*1000000/('Входные данные'!$C$57*'Профиль ствола'!D11)</f>
        <v>1495.677758639883</v>
      </c>
      <c r="AO10" s="32">
        <f>'Входные данные'!$C$58/AN10</f>
        <v>1.0697491426595687</v>
      </c>
      <c r="AP10" s="30">
        <f>SQRT(((Q10+P10)*9810/(PI()*(Z10^2-AA10^2)/4))^2 + ('Входные данные'!$C$59*Z10/(2*AD10))^2 + (-( 'Входные данные'!$C$59 + 2*AI10 ) / 2)^2 - ((Q10+P10)*9810/(PI()*(Z10^2-AA10^2)/4))*('Входные данные'!$C$59*Z10/(2*AD10)) - ('Входные данные'!$C$59*Z10/(2*AD10))*(-( 'Входные данные'!$C$59 + 2*AI10 ) / 2) - (-( 'Входные данные'!$C$59 + 2*AI10 ) / 2)*((Q10+P10)*9810/(PI()*(Z10^2-AA10^2)/4)))</f>
        <v>293.15098318330115</v>
      </c>
      <c r="AQ10" s="32">
        <f t="shared" si="14"/>
        <v>2.5856983038874493</v>
      </c>
      <c r="AR10" s="34">
        <f t="shared" si="15"/>
        <v>1.8337964087379994</v>
      </c>
      <c r="AS10" s="34">
        <f t="shared" si="16"/>
        <v>2.1701431492842533</v>
      </c>
    </row>
    <row r="11" spans="2:45" ht="21.75" customHeight="1">
      <c r="B11" s="7">
        <v>7</v>
      </c>
      <c r="C11" s="15">
        <f>'Профиль ствола'!C11</f>
        <v>1500</v>
      </c>
      <c r="D11" s="15">
        <f>'Профиль ствола'!C12</f>
        <v>2000</v>
      </c>
      <c r="E11" s="15">
        <f t="shared" si="0"/>
        <v>500</v>
      </c>
      <c r="F11" s="9">
        <f>'Профиль ствола'!E11</f>
        <v>45</v>
      </c>
      <c r="G11" s="9">
        <f>'Профиль ствола'!E12</f>
        <v>45</v>
      </c>
      <c r="H11" s="9">
        <f t="shared" si="1"/>
        <v>45</v>
      </c>
      <c r="I11" s="10" t="str">
        <f>IF(C11&lt;'Входные данные'!$C$21,"обс.","откр.")</f>
        <v>обс.</v>
      </c>
      <c r="J11" s="16">
        <f>IF(I11="обс.",'Входные данные'!$C$38,'Входные данные'!$C$39)</f>
        <v>0.25</v>
      </c>
      <c r="K11" s="17">
        <f t="shared" si="2"/>
        <v>34.97</v>
      </c>
      <c r="L11" s="17">
        <f>K11*'Входные данные'!$C$50</f>
        <v>28.956050955414014</v>
      </c>
      <c r="M11" s="17">
        <f t="shared" si="3"/>
        <v>20.475019986956458</v>
      </c>
      <c r="N11" s="17">
        <f t="shared" si="4"/>
        <v>20.475019986956454</v>
      </c>
      <c r="O11" s="17">
        <f t="shared" si="5"/>
        <v>5.1187549967391135</v>
      </c>
      <c r="P11" s="17">
        <f t="shared" si="6"/>
        <v>25.900900283499912</v>
      </c>
      <c r="Q11" s="17">
        <f t="shared" si="7"/>
        <v>79.852577949130179</v>
      </c>
      <c r="R11" s="17">
        <f>Q11-P11+'Входные данные'!$C$43</f>
        <v>68.951677665630271</v>
      </c>
      <c r="S11" s="17">
        <f>Q11+P11+'Входные данные'!$C$43</f>
        <v>120.75347823263009</v>
      </c>
      <c r="T11" s="17">
        <f>'Входные данные'!$C$45 - Q12 + P12</f>
        <v>141.40458732458708</v>
      </c>
      <c r="U11" s="17">
        <f>IF(H11&lt;1, 1.94*(('Входные данные'!$C$52*AE11*('Входные данные'!$C$54^2))^(1/3))/('Входные данные'!$C$57*1000), 2*SQRT('Входные данные'!$C$52*AE11*'Входные данные'!$C$54*SIN(RADIANS(H11))/AF11)/('Входные данные'!$C$57*1000))</f>
        <v>75.323754911138579</v>
      </c>
      <c r="V11" s="17">
        <f t="shared" si="8"/>
        <v>150.64750982227716</v>
      </c>
      <c r="W11" s="16">
        <f t="shared" si="9"/>
        <v>0.93864536819364497</v>
      </c>
      <c r="X11" s="9">
        <f>'Входные данные'!$C$33+'Входные данные'!$C$34*((C11+D11)/2)/100</f>
        <v>72.5</v>
      </c>
      <c r="Y11" s="10" t="str">
        <f>IF(W11&gt;1,"ОПАСНО: спирал. изгиб",IF(W11&gt;0.5,"Внимание: синус. изгиб",IF(AO11&lt;1,"ОПАСНО: гидроразрыв",IF(AR11&lt;1.15,"ОПАСНО: смятие колонны",IF(AS11&lt;1.1,"ОПАСНО: разрыв колонны",IF(AQ11&lt;1.25,"ОПАСНО: текучесть стали",IF(ROW()=5,IF(S11&gt;'Входные данные'!$C$44,"Превышение затяжки",IF(R11&lt;'Входные данные'!$C$43,"Требуется разгрузка",IF(R11&gt;'Входные данные'!$C$42,"Превышение грузоподъём.","Норма"))),"Норма")))))))</f>
        <v>Внимание: синус. изгиб</v>
      </c>
      <c r="Z11" s="29">
        <f>LOOKUP((C11+D11)/2, 'Входные данные'!$H$5:$H$7, 'Входные данные'!$J$5:$J$7)</f>
        <v>244.5</v>
      </c>
      <c r="AA11" s="29">
        <f>LOOKUP((C11+D11)/2, 'Входные данные'!$H$5:$H$7, 'Входные данные'!$K$5:$K$7)</f>
        <v>220.5</v>
      </c>
      <c r="AB11" s="29">
        <f>LOOKUP((C11+D11)/2, 'Входные данные'!$H$5:$H$7, 'Входные данные'!$M$5:$M$7)</f>
        <v>758</v>
      </c>
      <c r="AC11" s="29">
        <f>LOOKUP((C11+D11)/2, 'Входные данные'!$H$5:$H$7, 'Входные данные'!$N$5:$N$7)</f>
        <v>69.94</v>
      </c>
      <c r="AD11" s="29">
        <f t="shared" si="10"/>
        <v>12</v>
      </c>
      <c r="AE11" s="29">
        <f t="shared" si="11"/>
        <v>5.938344364392712E-5</v>
      </c>
      <c r="AF11" s="29">
        <f>(IF(I11="обс.", 'Входные данные'!$C$20, 'Входные данные'!$C$19)-Z11)/2000</f>
        <v>3.669999999999999E-2</v>
      </c>
      <c r="AG11" s="30">
        <f>1 / ( 1 / (2 * ('Входные данные'!$C$14 * 1000) / 0.91 / ((Z11/AD11) * (Z11/AD11 - 1)^2)) + 1 / (2 * AB11 * ((Z11/AD11) - 1) / (Z11/AD11)^2) )</f>
        <v>32.567368753162192</v>
      </c>
      <c r="AH11" s="30">
        <f t="shared" si="12"/>
        <v>65.104294478527606</v>
      </c>
      <c r="AI11" s="30">
        <f>'Входные данные'!$C$30 * 'Входные данные'!$C$57 * 'Профиль ствола'!D12 / 1000000</f>
        <v>22.434488999999999</v>
      </c>
      <c r="AJ11" s="31">
        <f>'Входные данные'!$C$47 * ( (Z11/1000)^2 / ( (IF(I11="обс.",'Входные данные'!$C$20,'Входные данные'!$C$19)/1000)^2 - (Z11/1000)^2 ) + 0.4 )</f>
        <v>0.9240796789547332</v>
      </c>
      <c r="AK11" s="31">
        <f>12 * ('Входные данные'!$C$31/1000) * AJ11 / (AF11*2)^2 + 6 * 'Входные данные'!$C$32 / (AF11*2)</f>
        <v>1277.6143381579827</v>
      </c>
      <c r="AL11" s="30">
        <f t="shared" si="17"/>
        <v>2.5552286763159655</v>
      </c>
      <c r="AM11" s="30">
        <f t="shared" si="13"/>
        <v>24.989717676315966</v>
      </c>
      <c r="AN11" s="31">
        <f>AM11*1000000/('Входные данные'!$C$57*'Профиль ствола'!D12)</f>
        <v>1503.7614123070312</v>
      </c>
      <c r="AO11" s="32">
        <f>'Входные данные'!$C$58/AN11</f>
        <v>1.0639985751099452</v>
      </c>
      <c r="AP11" s="30">
        <f>SQRT(((Q11+P11)*9810/(PI()*(Z11^2-AA11^2)/4))^2 + ('Входные данные'!$C$59*Z11/(2*AD11))^2 + (-( 'Входные данные'!$C$59 + 2*AI11 ) / 2)^2 - ((Q11+P11)*9810/(PI()*(Z11^2-AA11^2)/4))*('Входные данные'!$C$59*Z11/(2*AD11)) - ('Входные данные'!$C$59*Z11/(2*AD11))*(-( 'Входные данные'!$C$59 + 2*AI11 ) / 2) - (-( 'Входные данные'!$C$59 + 2*AI11 ) / 2)*((Q11+P11)*9810/(PI()*(Z11^2-AA11^2)/4)))</f>
        <v>297.5145681425148</v>
      </c>
      <c r="AQ11" s="32">
        <f t="shared" si="14"/>
        <v>2.5477743988553341</v>
      </c>
      <c r="AR11" s="34">
        <f t="shared" si="15"/>
        <v>1.4516652798805532</v>
      </c>
      <c r="AS11" s="34">
        <f t="shared" si="16"/>
        <v>2.1701431492842533</v>
      </c>
    </row>
    <row r="12" spans="2:45" ht="21.75" customHeight="1">
      <c r="B12" s="11">
        <v>8</v>
      </c>
      <c r="C12" s="18">
        <f>'Профиль ствола'!C12</f>
        <v>2000</v>
      </c>
      <c r="D12" s="18">
        <f>'Профиль ствола'!C13</f>
        <v>2500</v>
      </c>
      <c r="E12" s="18">
        <f t="shared" si="0"/>
        <v>500</v>
      </c>
      <c r="F12" s="13">
        <f>'Профиль ствола'!E12</f>
        <v>45</v>
      </c>
      <c r="G12" s="13">
        <f>'Профиль ствола'!E13</f>
        <v>45</v>
      </c>
      <c r="H12" s="13">
        <f t="shared" si="1"/>
        <v>45</v>
      </c>
      <c r="I12" s="14" t="str">
        <f>IF(C12&lt;'Входные данные'!$C$21,"обс.","откр.")</f>
        <v>откр.</v>
      </c>
      <c r="J12" s="19">
        <f>IF(I12="обс.",'Входные данные'!$C$38,'Входные данные'!$C$39)</f>
        <v>0.35</v>
      </c>
      <c r="K12" s="20">
        <f t="shared" si="2"/>
        <v>34.97</v>
      </c>
      <c r="L12" s="20">
        <f>K12*'Входные данные'!$C$50</f>
        <v>28.956050955414014</v>
      </c>
      <c r="M12" s="20">
        <f t="shared" si="3"/>
        <v>20.475019986956458</v>
      </c>
      <c r="N12" s="20">
        <f t="shared" si="4"/>
        <v>20.475019986956454</v>
      </c>
      <c r="O12" s="20">
        <f t="shared" si="5"/>
        <v>7.1662569954347584</v>
      </c>
      <c r="P12" s="20">
        <f t="shared" si="6"/>
        <v>20.782145286760798</v>
      </c>
      <c r="Q12" s="20">
        <f t="shared" si="7"/>
        <v>59.377557962173725</v>
      </c>
      <c r="R12" s="20">
        <f>Q12-P12+'Входные данные'!$C$43</f>
        <v>53.595412675412931</v>
      </c>
      <c r="S12" s="20">
        <f>Q12+P12+'Входные данные'!$C$43</f>
        <v>95.15970324893452</v>
      </c>
      <c r="T12" s="20">
        <f>'Входные данные'!$C$45 - Q13 + P13</f>
        <v>154.71335031610874</v>
      </c>
      <c r="U12" s="20">
        <f>IF(H12&lt;1, 1.94*(('Входные данные'!$C$52*AE12*('Входные данные'!$C$54^2))^(1/3))/('Входные данные'!$C$57*1000), 2*SQRT('Входные данные'!$C$52*AE12*'Входные данные'!$C$54*SIN(RADIANS(H12))/AF12)/('Входные данные'!$C$57*1000))</f>
        <v>79.016370038059307</v>
      </c>
      <c r="V12" s="20">
        <f t="shared" si="8"/>
        <v>158.03274007611861</v>
      </c>
      <c r="W12" s="19">
        <f t="shared" si="9"/>
        <v>0.97899555650043757</v>
      </c>
      <c r="X12" s="13">
        <f>'Входные данные'!$C$33+'Входные данные'!$C$34*((C12+D12)/2)/100</f>
        <v>87.5</v>
      </c>
      <c r="Y12" s="14" t="str">
        <f>IF(W12&gt;1,"ОПАСНО: спирал. изгиб",IF(W12&gt;0.5,"Внимание: синус. изгиб",IF(AO12&lt;1,"ОПАСНО: гидроразрыв",IF(AR12&lt;1.15,"ОПАСНО: смятие колонны",IF(AS12&lt;1.1,"ОПАСНО: разрыв колонны",IF(AQ12&lt;1.25,"ОПАСНО: текучесть стали",IF(ROW()=5,IF(S12&gt;'Входные данные'!$C$44,"Превышение затяжки",IF(R12&lt;'Входные данные'!$C$43,"Требуется разгрузка",IF(R12&gt;'Входные данные'!$C$42,"Превышение грузоподъём.","Норма"))),"Норма")))))))</f>
        <v>Внимание: синус. изгиб</v>
      </c>
      <c r="Z12" s="29">
        <f>LOOKUP((C12+D12)/2, 'Входные данные'!$H$5:$H$7, 'Входные данные'!$J$5:$J$7)</f>
        <v>244.5</v>
      </c>
      <c r="AA12" s="29">
        <f>LOOKUP((C12+D12)/2, 'Входные данные'!$H$5:$H$7, 'Входные данные'!$K$5:$K$7)</f>
        <v>220.5</v>
      </c>
      <c r="AB12" s="29">
        <f>LOOKUP((C12+D12)/2, 'Входные данные'!$H$5:$H$7, 'Входные данные'!$M$5:$M$7)</f>
        <v>758</v>
      </c>
      <c r="AC12" s="29">
        <f>LOOKUP((C12+D12)/2, 'Входные данные'!$H$5:$H$7, 'Входные данные'!$N$5:$N$7)</f>
        <v>69.94</v>
      </c>
      <c r="AD12" s="29">
        <f t="shared" si="10"/>
        <v>12</v>
      </c>
      <c r="AE12" s="29">
        <f t="shared" si="11"/>
        <v>5.938344364392712E-5</v>
      </c>
      <c r="AF12" s="29">
        <f>(IF(I12="обс.", 'Входные данные'!$C$20, 'Входные данные'!$C$19)-Z12)/2000</f>
        <v>3.3349999999999998E-2</v>
      </c>
      <c r="AG12" s="30">
        <f>1 / ( 1 / (2 * ('Входные данные'!$C$14 * 1000) / 0.91 / ((Z12/AD12) * (Z12/AD12 - 1)^2)) + 1 / (2 * AB12 * ((Z12/AD12) - 1) / (Z12/AD12)^2) )</f>
        <v>32.567368753162192</v>
      </c>
      <c r="AH12" s="30">
        <f t="shared" si="12"/>
        <v>65.104294478527606</v>
      </c>
      <c r="AI12" s="30">
        <f>'Входные данные'!$C$30 * 'Входные данные'!$C$57 * 'Профиль ствола'!D13 / 1000000</f>
        <v>27.122688</v>
      </c>
      <c r="AJ12" s="31">
        <f>'Входные данные'!$C$47 * ( (Z12/1000)^2 / ( (IF(I12="обс.",'Входные данные'!$C$20,'Входные данные'!$C$19)/1000)^2 - (Z12/1000)^2 ) + 0.4 )</f>
        <v>1.0064203906684415</v>
      </c>
      <c r="AK12" s="31">
        <f>12 * ('Входные данные'!$C$31/1000) * AJ12 / (AF12*2)^2 + 6 * 'Входные данные'!$C$32 / (AF12*2)</f>
        <v>1417.1908312411708</v>
      </c>
      <c r="AL12" s="30">
        <f t="shared" si="17"/>
        <v>3.2638240919365509</v>
      </c>
      <c r="AM12" s="30">
        <f t="shared" si="13"/>
        <v>30.386512091936552</v>
      </c>
      <c r="AN12" s="31">
        <f>AM12*1000000/('Входные данные'!$C$57*'Профиль ствола'!D13)</f>
        <v>1512.4530180826598</v>
      </c>
      <c r="AO12" s="32">
        <f>'Входные данные'!$C$58/AN12</f>
        <v>1.0578841001146095</v>
      </c>
      <c r="AP12" s="30">
        <f>SQRT(((Q12+P12)*9810/(PI()*(Z12^2-AA12^2)/4))^2 + ('Входные данные'!$C$59*Z12/(2*AD12))^2 + (-( 'Входные данные'!$C$59 + 2*AI12 ) / 2)^2 - ((Q12+P12)*9810/(PI()*(Z12^2-AA12^2)/4))*('Входные данные'!$C$59*Z12/(2*AD12)) - ('Входные данные'!$C$59*Z12/(2*AD12))*(-( 'Входные данные'!$C$59 + 2*AI12 ) / 2) - (-( 'Входные данные'!$C$59 + 2*AI12 ) / 2)*((Q12+P12)*9810/(PI()*(Z12^2-AA12^2)/4)))</f>
        <v>304.07774597718117</v>
      </c>
      <c r="AQ12" s="32">
        <f t="shared" si="14"/>
        <v>2.4927835398282729</v>
      </c>
      <c r="AR12" s="34">
        <f t="shared" si="15"/>
        <v>1.2007426680261997</v>
      </c>
      <c r="AS12" s="34">
        <f t="shared" si="16"/>
        <v>2.1701431492842533</v>
      </c>
    </row>
    <row r="13" spans="2:45" ht="21.75" customHeight="1">
      <c r="B13" s="7">
        <v>9</v>
      </c>
      <c r="C13" s="15">
        <f>'Профиль ствола'!C13</f>
        <v>2500</v>
      </c>
      <c r="D13" s="15">
        <f>'Профиль ствола'!C14</f>
        <v>3000</v>
      </c>
      <c r="E13" s="15">
        <f t="shared" si="0"/>
        <v>500</v>
      </c>
      <c r="F13" s="9">
        <f>'Профиль ствола'!E13</f>
        <v>45</v>
      </c>
      <c r="G13" s="9">
        <f>'Профиль ствола'!E14</f>
        <v>45</v>
      </c>
      <c r="H13" s="9">
        <f t="shared" si="1"/>
        <v>45</v>
      </c>
      <c r="I13" s="10" t="str">
        <f>IF(C13&lt;'Входные данные'!$C$21,"обс.","откр.")</f>
        <v>откр.</v>
      </c>
      <c r="J13" s="16">
        <f>IF(I13="обс.",'Входные данные'!$C$38,'Входные данные'!$C$39)</f>
        <v>0.35</v>
      </c>
      <c r="K13" s="17">
        <f t="shared" si="2"/>
        <v>34.97</v>
      </c>
      <c r="L13" s="17">
        <f>K13*'Входные данные'!$C$50</f>
        <v>28.956050955414014</v>
      </c>
      <c r="M13" s="17">
        <f t="shared" si="3"/>
        <v>20.475019986956458</v>
      </c>
      <c r="N13" s="17">
        <f t="shared" si="4"/>
        <v>20.475019986956454</v>
      </c>
      <c r="O13" s="17">
        <f t="shared" si="5"/>
        <v>7.1662569954347584</v>
      </c>
      <c r="P13" s="17">
        <f t="shared" si="6"/>
        <v>13.615888291326041</v>
      </c>
      <c r="Q13" s="17">
        <f t="shared" si="7"/>
        <v>38.902537975217271</v>
      </c>
      <c r="R13" s="17">
        <f>Q13-P13+'Входные данные'!$C$43</f>
        <v>40.286649683891227</v>
      </c>
      <c r="S13" s="17">
        <f>Q13+P13+'Входные данные'!$C$43</f>
        <v>67.518426266543315</v>
      </c>
      <c r="T13" s="17">
        <f>'Входные данные'!$C$45 - Q14 + P14</f>
        <v>168.02211330763049</v>
      </c>
      <c r="U13" s="17">
        <f>IF(H13&lt;1, 1.94*(('Входные данные'!$C$52*AE13*('Входные данные'!$C$54^2))^(1/3))/('Входные данные'!$C$57*1000), 2*SQRT('Входные данные'!$C$52*AE13*'Входные данные'!$C$54*SIN(RADIANS(H13))/AF13)/('Входные данные'!$C$57*1000))</f>
        <v>79.016370038059307</v>
      </c>
      <c r="V13" s="17">
        <f t="shared" si="8"/>
        <v>158.03274007611861</v>
      </c>
      <c r="W13" s="16">
        <f t="shared" si="9"/>
        <v>1.0632107829472575</v>
      </c>
      <c r="X13" s="9">
        <f>'Входные данные'!$C$33+'Входные данные'!$C$34*((C13+D13)/2)/100</f>
        <v>102.5</v>
      </c>
      <c r="Y13" s="10" t="str">
        <f>IF(W13&gt;1,"ОПАСНО: спирал. изгиб",IF(W13&gt;0.5,"Внимание: синус. изгиб",IF(AO13&lt;1,"ОПАСНО: гидроразрыв",IF(AR13&lt;1.15,"ОПАСНО: смятие колонны",IF(AS13&lt;1.1,"ОПАСНО: разрыв колонны",IF(AQ13&lt;1.25,"ОПАСНО: текучесть стали",IF(ROW()=5,IF(S13&gt;'Входные данные'!$C$44,"Превышение затяжки",IF(R13&lt;'Входные данные'!$C$43,"Требуется разгрузка",IF(R13&gt;'Входные данные'!$C$42,"Превышение грузоподъём.","Норма"))),"Норма")))))))</f>
        <v>ОПАСНО: спирал. изгиб</v>
      </c>
      <c r="Z13" s="29">
        <f>LOOKUP((C13+D13)/2, 'Входные данные'!$H$5:$H$7, 'Входные данные'!$J$5:$J$7)</f>
        <v>244.5</v>
      </c>
      <c r="AA13" s="29">
        <f>LOOKUP((C13+D13)/2, 'Входные данные'!$H$5:$H$7, 'Входные данные'!$K$5:$K$7)</f>
        <v>220.5</v>
      </c>
      <c r="AB13" s="29">
        <f>LOOKUP((C13+D13)/2, 'Входные данные'!$H$5:$H$7, 'Входные данные'!$M$5:$M$7)</f>
        <v>758</v>
      </c>
      <c r="AC13" s="29">
        <f>LOOKUP((C13+D13)/2, 'Входные данные'!$H$5:$H$7, 'Входные данные'!$N$5:$N$7)</f>
        <v>69.94</v>
      </c>
      <c r="AD13" s="29">
        <f t="shared" si="10"/>
        <v>12</v>
      </c>
      <c r="AE13" s="29">
        <f t="shared" si="11"/>
        <v>5.938344364392712E-5</v>
      </c>
      <c r="AF13" s="29">
        <f>(IF(I13="обс.", 'Входные данные'!$C$20, 'Входные данные'!$C$19)-Z13)/2000</f>
        <v>3.3349999999999998E-2</v>
      </c>
      <c r="AG13" s="30">
        <f>1 / ( 1 / (2 * ('Входные данные'!$C$14 * 1000) / 0.91 / ((Z13/AD13) * (Z13/AD13 - 1)^2)) + 1 / (2 * AB13 * ((Z13/AD13) - 1) / (Z13/AD13)^2) )</f>
        <v>32.567368753162192</v>
      </c>
      <c r="AH13" s="30">
        <f t="shared" si="12"/>
        <v>65.104294478527606</v>
      </c>
      <c r="AI13" s="30">
        <f>'Входные данные'!$C$30 * 'Входные данные'!$C$57 * 'Профиль ствола'!D14 / 1000000</f>
        <v>31.7976435</v>
      </c>
      <c r="AJ13" s="31">
        <f>'Входные данные'!$C$47 * ( (Z13/1000)^2 / ( (IF(I13="обс.",'Входные данные'!$C$20,'Входные данные'!$C$19)/1000)^2 - (Z13/1000)^2 ) + 0.4 )</f>
        <v>1.0064203906684415</v>
      </c>
      <c r="AK13" s="31">
        <f>12 * ('Входные данные'!$C$31/1000) * AJ13 / (AF13*2)^2 + 6 * 'Входные данные'!$C$32 / (AF13*2)</f>
        <v>1417.1908312411708</v>
      </c>
      <c r="AL13" s="30">
        <f t="shared" si="17"/>
        <v>3.9724195075571362</v>
      </c>
      <c r="AM13" s="30">
        <f t="shared" si="13"/>
        <v>35.770063007557134</v>
      </c>
      <c r="AN13" s="31">
        <f>AM13*1000000/('Входные данные'!$C$57*'Профиль ствола'!D14)</f>
        <v>1518.652948612438</v>
      </c>
      <c r="AO13" s="32">
        <f>'Входные данные'!$C$58/AN13</f>
        <v>1.0535652674706799</v>
      </c>
      <c r="AP13" s="30">
        <f>SQRT(((Q13+P13)*9810/(PI()*(Z13^2-AA13^2)/4))^2 + ('Входные данные'!$C$59*Z13/(2*AD13))^2 + (-( 'Входные данные'!$C$59 + 2*AI13 ) / 2)^2 - ((Q13+P13)*9810/(PI()*(Z13^2-AA13^2)/4))*('Входные данные'!$C$59*Z13/(2*AD13)) - ('Входные данные'!$C$59*Z13/(2*AD13))*(-( 'Входные данные'!$C$59 + 2*AI13 ) / 2) - (-( 'Входные данные'!$C$59 + 2*AI13 ) / 2)*((Q13+P13)*9810/(PI()*(Z13^2-AA13^2)/4)))</f>
        <v>313.27378214390535</v>
      </c>
      <c r="AQ13" s="32">
        <f t="shared" si="14"/>
        <v>2.4196087997297053</v>
      </c>
      <c r="AR13" s="34">
        <f t="shared" si="15"/>
        <v>1.0242069904696616</v>
      </c>
      <c r="AS13" s="34">
        <f t="shared" si="16"/>
        <v>2.1701431492842533</v>
      </c>
    </row>
    <row r="14" spans="2:45" ht="21.75" customHeight="1">
      <c r="B14" s="11">
        <v>10</v>
      </c>
      <c r="C14" s="18">
        <f>'Профиль ствола'!C14</f>
        <v>3000</v>
      </c>
      <c r="D14" s="18">
        <f>'Профиль ствола'!C15</f>
        <v>3450</v>
      </c>
      <c r="E14" s="18">
        <f t="shared" si="0"/>
        <v>450</v>
      </c>
      <c r="F14" s="13">
        <f>'Профиль ствола'!E14</f>
        <v>45</v>
      </c>
      <c r="G14" s="13">
        <f>'Профиль ствола'!E15</f>
        <v>45</v>
      </c>
      <c r="H14" s="13">
        <f t="shared" si="1"/>
        <v>45</v>
      </c>
      <c r="I14" s="14" t="str">
        <f>IF(C14&lt;'Входные данные'!$C$21,"обс.","откр.")</f>
        <v>откр.</v>
      </c>
      <c r="J14" s="19">
        <f>IF(I14="обс.",'Входные данные'!$C$38,'Входные данные'!$C$39)</f>
        <v>0.35</v>
      </c>
      <c r="K14" s="20">
        <f t="shared" si="2"/>
        <v>31.472999999999999</v>
      </c>
      <c r="L14" s="20">
        <f>K14*'Входные данные'!$C$50</f>
        <v>26.060445859872612</v>
      </c>
      <c r="M14" s="20">
        <f t="shared" si="3"/>
        <v>18.427517988260814</v>
      </c>
      <c r="N14" s="20">
        <f t="shared" si="4"/>
        <v>18.42751798826081</v>
      </c>
      <c r="O14" s="20">
        <f t="shared" si="5"/>
        <v>6.4496312958912831</v>
      </c>
      <c r="P14" s="20">
        <f>O14</f>
        <v>6.4496312958912831</v>
      </c>
      <c r="Q14" s="20">
        <f>M14</f>
        <v>18.427517988260814</v>
      </c>
      <c r="R14" s="20">
        <f>Q14-P14+'Входные данные'!$C$43</f>
        <v>26.97788669236953</v>
      </c>
      <c r="S14" s="20">
        <f>Q14+P14+'Входные данные'!$C$43</f>
        <v>39.877149284152097</v>
      </c>
      <c r="T14" s="20">
        <f>'Входные данные'!$C$45 - Q15 + P15</f>
        <v>180</v>
      </c>
      <c r="U14" s="20">
        <f>IF(H14&lt;1, 1.94*(('Входные данные'!$C$52*AE14*('Входные данные'!$C$54^2))^(1/3))/('Входные данные'!$C$57*1000), 2*SQRT('Входные данные'!$C$52*AE14*'Входные данные'!$C$54*SIN(RADIANS(H14))/AF14)/('Входные данные'!$C$57*1000))</f>
        <v>79.016370038059307</v>
      </c>
      <c r="V14" s="20">
        <f t="shared" si="8"/>
        <v>158.03274007611861</v>
      </c>
      <c r="W14" s="19">
        <f t="shared" si="9"/>
        <v>1.1390044867493949</v>
      </c>
      <c r="X14" s="13">
        <f>'Входные данные'!$C$33+'Входные данные'!$C$34*((C14+D14)/2)/100</f>
        <v>116.75</v>
      </c>
      <c r="Y14" s="14" t="str">
        <f>IF(W14&gt;1,"ОПАСНО: спирал. изгиб",IF(W14&gt;0.5,"Внимание: синус. изгиб",IF(AO14&lt;1,"ОПАСНО: гидроразрыв",IF(AR14&lt;1.15,"ОПАСНО: смятие колонны",IF(AS14&lt;1.1,"ОПАСНО: разрыв колонны",IF(AQ14&lt;1.25,"ОПАСНО: текучесть стали",IF(ROW()=5,IF(S14&gt;'Входные данные'!$C$44,"Превышение затяжки",IF(R14&lt;'Входные данные'!$C$43,"Требуется разгрузка",IF(R14&gt;'Входные данные'!$C$42,"Превышение грузоподъём.","Норма"))),"Норма")))))))</f>
        <v>ОПАСНО: спирал. изгиб</v>
      </c>
      <c r="Z14" s="29">
        <f>LOOKUP((C14+D14)/2, 'Входные данные'!$H$5:$H$7, 'Входные данные'!$J$5:$J$7)</f>
        <v>244.5</v>
      </c>
      <c r="AA14" s="29">
        <f>LOOKUP((C14+D14)/2, 'Входные данные'!$H$5:$H$7, 'Входные данные'!$K$5:$K$7)</f>
        <v>220.5</v>
      </c>
      <c r="AB14" s="29">
        <f>LOOKUP((C14+D14)/2, 'Входные данные'!$H$5:$H$7, 'Входные данные'!$M$5:$M$7)</f>
        <v>758</v>
      </c>
      <c r="AC14" s="29">
        <f>LOOKUP((C14+D14)/2, 'Входные данные'!$H$5:$H$7, 'Входные данные'!$N$5:$N$7)</f>
        <v>69.94</v>
      </c>
      <c r="AD14" s="29">
        <f t="shared" si="10"/>
        <v>12</v>
      </c>
      <c r="AE14" s="29">
        <f t="shared" si="11"/>
        <v>5.938344364392712E-5</v>
      </c>
      <c r="AF14" s="29">
        <f>(IF(I14="обс.", 'Входные данные'!$C$20, 'Входные данные'!$C$19)-Z14)/2000</f>
        <v>3.3349999999999998E-2</v>
      </c>
      <c r="AG14" s="30">
        <f>1 / ( 1 / (2 * ('Входные данные'!$C$14 * 1000) / 0.91 / ((Z14/AD14) * (Z14/AD14 - 1)^2)) + 1 / (2 * AB14 * ((Z14/AD14) - 1) / (Z14/AD14)^2) )</f>
        <v>32.567368753162192</v>
      </c>
      <c r="AH14" s="30">
        <f t="shared" si="12"/>
        <v>65.104294478527606</v>
      </c>
      <c r="AI14" s="30">
        <f>'Входные данные'!$C$30 * 'Входные данные'!$C$57 * 'Профиль ствола'!D15 / 1000000</f>
        <v>35.691232499999998</v>
      </c>
      <c r="AJ14" s="31">
        <f>'Входные данные'!$C$47 * ( (Z14/1000)^2 / ( (IF(I14="обс.",'Входные данные'!$C$20,'Входные данные'!$C$19)/1000)^2 - (Z14/1000)^2 ) + 0.4 )</f>
        <v>1.0064203906684415</v>
      </c>
      <c r="AK14" s="31">
        <f>12 * ('Входные данные'!$C$31/1000) * AJ14 / (AF14*2)^2 + 6 * 'Входные данные'!$C$32 / (AF14*2)</f>
        <v>1417.1908312411708</v>
      </c>
      <c r="AL14" s="30">
        <f t="shared" si="17"/>
        <v>4.6101553816156633</v>
      </c>
      <c r="AM14" s="30">
        <f t="shared" si="13"/>
        <v>40.301387881615661</v>
      </c>
      <c r="AN14" s="31">
        <f>AM14*1000000/('Входные данные'!$C$57*'Профиль ствола'!D15)</f>
        <v>1524.3764316679492</v>
      </c>
      <c r="AO14" s="32">
        <f>'Входные данные'!$C$58/AN14</f>
        <v>1.0496095103289578</v>
      </c>
      <c r="AP14" s="30">
        <f>SQRT(((Q14+P14)*9810/(PI()*(Z14^2-AA14^2)/4))^2 + ('Входные данные'!$C$59*Z14/(2*AD14))^2 + (-( 'Входные данные'!$C$59 + 2*AI14 ) / 2)^2 - ((Q14+P14)*9810/(PI()*(Z14^2-AA14^2)/4))*('Входные данные'!$C$59*Z14/(2*AD14)) - ('Входные данные'!$C$59*Z14/(2*AD14))*(-( 'Входные данные'!$C$59 + 2*AI14 ) / 2) - (-( 'Входные данные'!$C$59 + 2*AI14 ) / 2)*((Q14+P14)*9810/(PI()*(Z14^2-AA14^2)/4)))</f>
        <v>324.26203531874398</v>
      </c>
      <c r="AQ14" s="32">
        <f t="shared" si="14"/>
        <v>2.3376156239039796</v>
      </c>
      <c r="AR14" s="34">
        <f t="shared" si="15"/>
        <v>0.91247531878206212</v>
      </c>
      <c r="AS14" s="34">
        <f t="shared" si="16"/>
        <v>2.1701431492842533</v>
      </c>
    </row>
  </sheetData>
  <mergeCells count="2">
    <mergeCell ref="B3:Y3"/>
    <mergeCell ref="B2:Y2"/>
  </mergeCells>
  <conditionalFormatting sqref="W5:W14">
    <cfRule type="cellIs" dxfId="10" priority="5" operator="greaterThan">
      <formula>1</formula>
    </cfRule>
    <cfRule type="cellIs" dxfId="9" priority="6" operator="between">
      <formula>0.5</formula>
      <formula>1</formula>
    </cfRule>
  </conditionalFormatting>
  <conditionalFormatting sqref="Y5:Y14">
    <cfRule type="expression" dxfId="8" priority="2">
      <formula>ISNUMBER(SEARCH("ОПАСНО",Y5))</formula>
    </cfRule>
    <cfRule type="expression" dxfId="7" priority="3">
      <formula>OR(ISNUMBER(SEARCH("Внимание",Y5)),ISNUMBER(SEARCH("Превыш",Y5)),ISNUMBER(SEARCH("Требуется",Y5)))</formula>
    </cfRule>
    <cfRule type="expression" dxfId="6" priority="4">
      <formula>EXACT(Y5,"Норма")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14"/>
  <sheetViews>
    <sheetView showGridLines="0" zoomScaleNormal="100" workbookViewId="0"/>
  </sheetViews>
  <sheetFormatPr baseColWidth="10" defaultColWidth="8.6640625" defaultRowHeight="15" customHeight="1"/>
  <cols>
    <col min="1" max="1" width="3" customWidth="1"/>
    <col min="2" max="24" width="11" customWidth="1"/>
  </cols>
  <sheetData>
    <row r="2" spans="2:25" ht="31.5" customHeight="1">
      <c r="B2" s="56" t="s">
        <v>215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2:25">
      <c r="B3" s="57" t="s">
        <v>216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2:25" ht="27.75" customHeight="1">
      <c r="B4" s="1" t="s">
        <v>163</v>
      </c>
      <c r="C4" s="1" t="s">
        <v>217</v>
      </c>
      <c r="D4" s="1" t="s">
        <v>218</v>
      </c>
      <c r="E4" s="1" t="s">
        <v>219</v>
      </c>
      <c r="F4" s="1" t="s">
        <v>220</v>
      </c>
    </row>
    <row r="5" spans="2:25" ht="19.5" customHeight="1">
      <c r="B5" s="15">
        <f>Расчёт!C5</f>
        <v>0</v>
      </c>
      <c r="C5" s="8">
        <f>'Входные данные'!$C$42</f>
        <v>250</v>
      </c>
      <c r="D5" s="8">
        <f>'Входные данные'!$C$44</f>
        <v>200</v>
      </c>
      <c r="E5" s="8">
        <f>'Входные данные'!$C$45</f>
        <v>180</v>
      </c>
      <c r="F5" s="8">
        <f>'Входные данные'!$C$43</f>
        <v>15</v>
      </c>
    </row>
    <row r="6" spans="2:25" ht="19.5" customHeight="1">
      <c r="B6" s="18">
        <f>Расчёт!C6</f>
        <v>300</v>
      </c>
      <c r="C6" s="12">
        <f>'Входные данные'!$C$42</f>
        <v>250</v>
      </c>
      <c r="D6" s="12">
        <f>'Входные данные'!$C$44</f>
        <v>200</v>
      </c>
      <c r="E6" s="12">
        <f>'Входные данные'!$C$45</f>
        <v>180</v>
      </c>
      <c r="F6" s="12">
        <f>'Входные данные'!$C$43</f>
        <v>15</v>
      </c>
    </row>
    <row r="7" spans="2:25" ht="19.5" customHeight="1">
      <c r="B7" s="15">
        <f>Расчёт!C7</f>
        <v>600</v>
      </c>
      <c r="C7" s="8">
        <f>'Входные данные'!$C$42</f>
        <v>250</v>
      </c>
      <c r="D7" s="8">
        <f>'Входные данные'!$C$44</f>
        <v>200</v>
      </c>
      <c r="E7" s="8">
        <f>'Входные данные'!$C$45</f>
        <v>180</v>
      </c>
      <c r="F7" s="8">
        <f>'Входные данные'!$C$43</f>
        <v>15</v>
      </c>
    </row>
    <row r="8" spans="2:25" ht="19.5" customHeight="1">
      <c r="B8" s="18">
        <f>Расчёт!C8</f>
        <v>750</v>
      </c>
      <c r="C8" s="12">
        <f>'Входные данные'!$C$42</f>
        <v>250</v>
      </c>
      <c r="D8" s="12">
        <f>'Входные данные'!$C$44</f>
        <v>200</v>
      </c>
      <c r="E8" s="12">
        <f>'Входные данные'!$C$45</f>
        <v>180</v>
      </c>
      <c r="F8" s="12">
        <f>'Входные данные'!$C$43</f>
        <v>15</v>
      </c>
    </row>
    <row r="9" spans="2:25" ht="19.5" customHeight="1">
      <c r="B9" s="15">
        <f>Расчёт!C9</f>
        <v>900</v>
      </c>
      <c r="C9" s="8">
        <f>'Входные данные'!$C$42</f>
        <v>250</v>
      </c>
      <c r="D9" s="8">
        <f>'Входные данные'!$C$44</f>
        <v>200</v>
      </c>
      <c r="E9" s="8">
        <f>'Входные данные'!$C$45</f>
        <v>180</v>
      </c>
      <c r="F9" s="8">
        <f>'Входные данные'!$C$43</f>
        <v>15</v>
      </c>
    </row>
    <row r="10" spans="2:25" ht="19.5" customHeight="1">
      <c r="B10" s="18">
        <f>Расчёт!C10</f>
        <v>1050</v>
      </c>
      <c r="C10" s="12">
        <f>'Входные данные'!$C$42</f>
        <v>250</v>
      </c>
      <c r="D10" s="12">
        <f>'Входные данные'!$C$44</f>
        <v>200</v>
      </c>
      <c r="E10" s="12">
        <f>'Входные данные'!$C$45</f>
        <v>180</v>
      </c>
      <c r="F10" s="12">
        <f>'Входные данные'!$C$43</f>
        <v>15</v>
      </c>
    </row>
    <row r="11" spans="2:25" ht="19.5" customHeight="1">
      <c r="B11" s="15">
        <f>Расчёт!C11</f>
        <v>1500</v>
      </c>
      <c r="C11" s="8">
        <f>'Входные данные'!$C$42</f>
        <v>250</v>
      </c>
      <c r="D11" s="8">
        <f>'Входные данные'!$C$44</f>
        <v>200</v>
      </c>
      <c r="E11" s="8">
        <f>'Входные данные'!$C$45</f>
        <v>180</v>
      </c>
      <c r="F11" s="8">
        <f>'Входные данные'!$C$43</f>
        <v>15</v>
      </c>
    </row>
    <row r="12" spans="2:25" ht="19.5" customHeight="1">
      <c r="B12" s="18">
        <f>Расчёт!C12</f>
        <v>2000</v>
      </c>
      <c r="C12" s="12">
        <f>'Входные данные'!$C$42</f>
        <v>250</v>
      </c>
      <c r="D12" s="12">
        <f>'Входные данные'!$C$44</f>
        <v>200</v>
      </c>
      <c r="E12" s="12">
        <f>'Входные данные'!$C$45</f>
        <v>180</v>
      </c>
      <c r="F12" s="12">
        <f>'Входные данные'!$C$43</f>
        <v>15</v>
      </c>
    </row>
    <row r="13" spans="2:25" ht="19.5" customHeight="1">
      <c r="B13" s="15">
        <f>Расчёт!C13</f>
        <v>2500</v>
      </c>
      <c r="C13" s="8">
        <f>'Входные данные'!$C$42</f>
        <v>250</v>
      </c>
      <c r="D13" s="8">
        <f>'Входные данные'!$C$44</f>
        <v>200</v>
      </c>
      <c r="E13" s="8">
        <f>'Входные данные'!$C$45</f>
        <v>180</v>
      </c>
      <c r="F13" s="8">
        <f>'Входные данные'!$C$43</f>
        <v>15</v>
      </c>
    </row>
    <row r="14" spans="2:25" ht="19.5" customHeight="1">
      <c r="B14" s="18">
        <f>Расчёт!C14</f>
        <v>3000</v>
      </c>
      <c r="C14" s="12">
        <f>'Входные данные'!$C$42</f>
        <v>250</v>
      </c>
      <c r="D14" s="12">
        <f>'Входные данные'!$C$44</f>
        <v>200</v>
      </c>
      <c r="E14" s="12">
        <f>'Входные данные'!$C$45</f>
        <v>180</v>
      </c>
      <c r="F14" s="12">
        <f>'Входные данные'!$C$43</f>
        <v>15</v>
      </c>
    </row>
  </sheetData>
  <mergeCells count="2">
    <mergeCell ref="B3:Y3"/>
    <mergeCell ref="B2:Y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58"/>
  <sheetViews>
    <sheetView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B31" sqref="B31:F31"/>
    </sheetView>
  </sheetViews>
  <sheetFormatPr baseColWidth="10" defaultColWidth="8.6640625" defaultRowHeight="15" customHeight="1"/>
  <cols>
    <col min="1" max="1" width="3" customWidth="1"/>
    <col min="2" max="2" width="45" customWidth="1"/>
    <col min="3" max="3" width="15" customWidth="1"/>
    <col min="4" max="4" width="10" customWidth="1"/>
    <col min="5" max="5" width="30" customWidth="1"/>
    <col min="6" max="6" width="35" customWidth="1"/>
  </cols>
  <sheetData>
    <row r="2" spans="2:6" ht="30" customHeight="1">
      <c r="B2" s="49" t="s">
        <v>0</v>
      </c>
      <c r="C2" s="47"/>
      <c r="D2" s="47"/>
      <c r="E2" s="47"/>
      <c r="F2" s="47"/>
    </row>
    <row r="3" spans="2:6" ht="7.5" customHeight="1"/>
    <row r="4" spans="2:6" ht="24" customHeight="1">
      <c r="B4" s="46" t="s">
        <v>1</v>
      </c>
      <c r="C4" s="47"/>
      <c r="D4" s="47"/>
      <c r="E4" s="47"/>
      <c r="F4" s="47"/>
    </row>
    <row r="5" spans="2:6" ht="20" customHeight="1">
      <c r="B5" s="35" t="s">
        <v>2</v>
      </c>
      <c r="C5" s="35" t="s">
        <v>3</v>
      </c>
      <c r="D5" s="35" t="s">
        <v>4</v>
      </c>
      <c r="E5" s="35" t="s">
        <v>5</v>
      </c>
      <c r="F5" s="35" t="s">
        <v>6</v>
      </c>
    </row>
    <row r="6" spans="2:6" ht="19" customHeight="1">
      <c r="B6" s="36" t="s">
        <v>7</v>
      </c>
      <c r="C6" s="37">
        <f>MAX(Расчёт!S5:S14)</f>
        <v>224.50690050202735</v>
      </c>
      <c r="D6" s="38" t="s">
        <v>8</v>
      </c>
      <c r="E6" s="38" t="str">
        <f>"Предел: " &amp; 'Входные данные'!$C$44 &amp; " т"</f>
        <v>Предел: 200 т</v>
      </c>
      <c r="F6" s="39" t="str">
        <f>IF(C6&gt;'Входные данные'!$C$44, "КРИТИЧЕСКИЙ РИСК", IF(C6&gt;'Входные данные'!$C$42/'Входные данные'!$C$46, "Внимание: близко к лимиту", "В норме"))</f>
        <v>КРИТИЧЕСКИЙ РИСК</v>
      </c>
    </row>
    <row r="7" spans="2:6" ht="19" customHeight="1">
      <c r="B7" s="36" t="s">
        <v>9</v>
      </c>
      <c r="C7" s="37">
        <f>MIN(Расчёт!R5:R14)</f>
        <v>26.97788669236953</v>
      </c>
      <c r="D7" s="38" t="s">
        <v>8</v>
      </c>
      <c r="E7" s="38" t="str">
        <f>"Вес блока: " &amp; 'Входные данные'!$C$43 &amp; " т"</f>
        <v>Вес блока: 15 т</v>
      </c>
      <c r="F7" s="39" t="str">
        <f>IF(C7&lt;'Входные данные'!$C$43, "Разгрузка ниже веса блока", "В норме")</f>
        <v>В норме</v>
      </c>
    </row>
    <row r="8" spans="2:6" ht="19" customHeight="1">
      <c r="B8" s="36" t="s">
        <v>10</v>
      </c>
      <c r="C8" s="40">
        <f>MAX(Расчёт!W5:W14)</f>
        <v>17.665262500339441</v>
      </c>
      <c r="D8" s="38" t="s">
        <v>11</v>
      </c>
      <c r="E8" s="38" t="s">
        <v>12</v>
      </c>
      <c r="F8" s="39" t="str">
        <f>IF(C8&gt;1, "КРИТИЧЕСКИЙ РИСК: спирал. изгиб", IF(C8&gt;0.5, "Внимание: синус. изгиб", "В норме"))</f>
        <v>КРИТИЧЕСКИЙ РИСК: спирал. изгиб</v>
      </c>
    </row>
    <row r="9" spans="2:6" ht="19" customHeight="1">
      <c r="B9" s="36" t="s">
        <v>13</v>
      </c>
      <c r="C9" s="41">
        <f>MAX(Расчёт!AN5:AN14)</f>
        <v>1524.3764316679492</v>
      </c>
      <c r="D9" s="38" t="s">
        <v>14</v>
      </c>
      <c r="E9" s="38" t="str">
        <f>"Предел поглощения: " &amp; 'Входные данные'!$C$58 &amp; " кг/м³"</f>
        <v>Предел поглощения: 1600 кг/м³</v>
      </c>
      <c r="F9" s="39" t="str">
        <f>IF(C9&gt;'Входные данные'!$C$58, "КРИТИЧЕСКИЙ РИСК: поглощение", "В норме")</f>
        <v>В норме</v>
      </c>
    </row>
    <row r="10" spans="2:6" ht="19" customHeight="1">
      <c r="B10" s="36" t="s">
        <v>15</v>
      </c>
      <c r="C10" s="40">
        <f>MIN(Расчёт!AO5:AO14)</f>
        <v>1.0496095103289578</v>
      </c>
      <c r="D10" s="38" t="s">
        <v>11</v>
      </c>
      <c r="E10" s="38" t="s">
        <v>16</v>
      </c>
      <c r="F10" s="39" t="str">
        <f>IF(C10&lt;1, "АВАРИЙНО: поглощение", IF(C10&lt;1.05, "Внимание: риск поглощения", "В норме"))</f>
        <v>Внимание: риск поглощения</v>
      </c>
    </row>
    <row r="11" spans="2:6" ht="19" customHeight="1">
      <c r="B11" s="36" t="s">
        <v>17</v>
      </c>
      <c r="C11" s="40">
        <f>MIN(Расчёт!AR5:AR14)</f>
        <v>0.91247531878206212</v>
      </c>
      <c r="D11" s="38" t="s">
        <v>11</v>
      </c>
      <c r="E11" s="38" t="s">
        <v>18</v>
      </c>
      <c r="F11" s="39" t="str">
        <f>IF(C11&lt;1, "АВАРИЙНО: смятие колонны", IF(C11&lt;1.15, "Внимание: низкий запас", "В норме"))</f>
        <v>АВАРИЙНО: смятие колонны</v>
      </c>
    </row>
    <row r="12" spans="2:6" ht="19" customHeight="1">
      <c r="B12" s="36" t="s">
        <v>19</v>
      </c>
      <c r="C12" s="40">
        <f>MIN(Расчёт!AS5:AS14)</f>
        <v>2.1701431492842533</v>
      </c>
      <c r="D12" s="38" t="s">
        <v>11</v>
      </c>
      <c r="E12" s="38" t="s">
        <v>20</v>
      </c>
      <c r="F12" s="39" t="str">
        <f>IF(C12&lt;1, "АВАРИЙНО: разрыв колонны", IF(C12&lt;1.1, "Внимание: низкий запас", "В норме"))</f>
        <v>В норме</v>
      </c>
    </row>
    <row r="13" spans="2:6" ht="19" customHeight="1">
      <c r="B13" s="36" t="s">
        <v>21</v>
      </c>
      <c r="C13" s="40">
        <f>MIN(Расчёт!AQ5:AQ14)</f>
        <v>2.3376156239039796</v>
      </c>
      <c r="D13" s="38" t="s">
        <v>11</v>
      </c>
      <c r="E13" s="38" t="s">
        <v>22</v>
      </c>
      <c r="F13" s="39" t="str">
        <f>IF(C13&lt;1, "АВАРИЙНО: текучесть стали", IF(C13&lt;1.25, "Внимание: низкий запас", "В норме"))</f>
        <v>В норме</v>
      </c>
    </row>
    <row r="14" spans="2:6" ht="19" customHeight="1">
      <c r="B14" s="36" t="s">
        <v>23</v>
      </c>
      <c r="C14" s="40">
        <f>MAX(Расчёт!AL5:AL14)</f>
        <v>4.6101553816156633</v>
      </c>
      <c r="D14" s="38" t="s">
        <v>24</v>
      </c>
      <c r="E14" s="38" t="s">
        <v>25</v>
      </c>
      <c r="F14" s="39" t="str">
        <f>""</f>
        <v/>
      </c>
    </row>
    <row r="15" spans="2:6" ht="19" customHeight="1">
      <c r="B15" s="36" t="s">
        <v>26</v>
      </c>
      <c r="C15" s="42">
        <f>MAX(Расчёт!X5:X14)</f>
        <v>116.75</v>
      </c>
      <c r="D15" s="38" t="s">
        <v>27</v>
      </c>
      <c r="E15" s="38" t="s">
        <v>28</v>
      </c>
      <c r="F15" s="39" t="str">
        <f>IF(C15&gt;120, "Внимание: деструкция раствора", "В норме")</f>
        <v>В норме</v>
      </c>
    </row>
    <row r="16" spans="2:6" ht="19" customHeight="1">
      <c r="B16" s="50" t="s">
        <v>29</v>
      </c>
      <c r="C16" s="51">
        <f>COUNTIF(Расчёт!Y5:Y14, "&lt;&gt;Норма")</f>
        <v>10</v>
      </c>
      <c r="D16" s="52" t="s">
        <v>30</v>
      </c>
      <c r="E16" s="52" t="s">
        <v>31</v>
      </c>
      <c r="F16" s="39" t="str">
        <f>IF(C16&gt;0, "Внимание: требуются мероприятия", "В норме")</f>
        <v>Внимание: требуются мероприятия</v>
      </c>
    </row>
    <row r="17" spans="2:6" ht="27.75" customHeight="1"/>
    <row r="18" spans="2:6" ht="24" customHeight="1">
      <c r="B18" s="46" t="s">
        <v>32</v>
      </c>
      <c r="C18" s="47"/>
      <c r="D18" s="47"/>
      <c r="E18" s="47"/>
      <c r="F18" s="47"/>
    </row>
    <row r="19" spans="2:6" ht="20" customHeight="1">
      <c r="B19" s="35" t="s">
        <v>33</v>
      </c>
      <c r="C19" s="35" t="s">
        <v>34</v>
      </c>
      <c r="D19" s="35" t="s">
        <v>35</v>
      </c>
      <c r="E19" s="35" t="s">
        <v>36</v>
      </c>
      <c r="F19" s="35" t="s">
        <v>37</v>
      </c>
    </row>
    <row r="20" spans="2:6" ht="19" customHeight="1">
      <c r="B20" s="43">
        <f>IF(Расчёт!Y5&lt;&gt;"Норма",Расчёт!B5,"")</f>
        <v>1</v>
      </c>
      <c r="C20" s="43" t="str">
        <f>IF(Расчёт!Y5&lt;&gt;"Норма",Расчёт!C5&amp;" - "&amp;Расчёт!D5,"")</f>
        <v>0 - 300</v>
      </c>
      <c r="D20" s="43" t="str">
        <f>IF(Расчёт!Y5&lt;&gt;"Норма",IF(Расчёт!I5="обс.","Обсаженный","Открытый"),"")</f>
        <v>Обсаженный</v>
      </c>
      <c r="E20" s="43" t="str">
        <f>IF(Расчёт!Y5&lt;&gt;"Норма",Расчёт!Y5,"")</f>
        <v>ОПАСНО: спирал. изгиб</v>
      </c>
      <c r="F20" s="43" t="e">
        <f>IF(Расчёт!Y5&lt;&gt;"Норма",IF(Расчёт!W5&gt;0.5,TEXT(Расчёт!W5,"0.00")&amp;" (изгиб)",IF(Расчёт!AO5&lt;1.05,TEXT(Расчёт!AN5,"0")&amp;" кг/м³ (ECD)",IF(Расчёт!AR5&lt;1.15,TEXT(Расчёт!AR5,"0.00")&amp;" (SF_смятие)",IF(Расчёт!AS5&lt;1.1,TEXT(Расчёт!AS5,"0.00")&amp;" (SF_разрыв)",IF(Расчёт!AQ5&lt;1.25,TEXT(Расчёт!AQ5,"0.00")&amp;" (SF_прочн)",TEXT(Расчёт!S5,"0")&amp;" т (нагр)"))))),"")</f>
        <v>#VALUE!</v>
      </c>
    </row>
    <row r="21" spans="2:6" ht="19" customHeight="1">
      <c r="B21" s="43">
        <f>IF(Расчёт!Y6&lt;&gt;"Норма",Расчёт!B6,"")</f>
        <v>2</v>
      </c>
      <c r="C21" s="43" t="str">
        <f>IF(Расчёт!Y6&lt;&gt;"Норма",Расчёт!C6&amp;" - "&amp;Расчёт!D6,"")</f>
        <v>300 - 600</v>
      </c>
      <c r="D21" s="43" t="str">
        <f>IF(Расчёт!Y6&lt;&gt;"Норма",IF(Расчёт!I6="обс.","Обсаженный","Открытый"),"")</f>
        <v>Обсаженный</v>
      </c>
      <c r="E21" s="43" t="str">
        <f>IF(Расчёт!Y6&lt;&gt;"Норма",Расчёт!Y6,"")</f>
        <v>ОПАСНО: спирал. изгиб</v>
      </c>
      <c r="F21" s="43" t="e">
        <f>IF(Расчёт!Y6&lt;&gt;"Норма",IF(Расчёт!W6&gt;0.5,TEXT(Расчёт!W6,"0.00")&amp;" (изгиб)",IF(Расчёт!AO6&lt;1.05,TEXT(Расчёт!AN6,"0")&amp;" кг/м³ (ECD)",IF(Расчёт!AR6&lt;1.15,TEXT(Расчёт!AR6,"0.00")&amp;" (SF_смятие)",IF(Расчёт!AS6&lt;1.1,TEXT(Расчёт!AS6,"0.00")&amp;" (SF_разрыв)",IF(Расчёт!AQ6&lt;1.25,TEXT(Расчёт!AQ6,"0.00")&amp;" (SF_прочн)",TEXT(Расчёт!S6,"0")&amp;" т (нагр)"))))),"")</f>
        <v>#VALUE!</v>
      </c>
    </row>
    <row r="22" spans="2:6" ht="19" customHeight="1">
      <c r="B22" s="43">
        <f>IF(Расчёт!Y7&lt;&gt;"Норма",Расчёт!B7,"")</f>
        <v>3</v>
      </c>
      <c r="C22" s="43" t="str">
        <f>IF(Расчёт!Y7&lt;&gt;"Норма",Расчёт!C7&amp;" - "&amp;Расчёт!D7,"")</f>
        <v>600 - 750</v>
      </c>
      <c r="D22" s="43" t="str">
        <f>IF(Расчёт!Y7&lt;&gt;"Норма",IF(Расчёт!I7="обс.","Обсаженный","Открытый"),"")</f>
        <v>Обсаженный</v>
      </c>
      <c r="E22" s="43" t="str">
        <f>IF(Расчёт!Y7&lt;&gt;"Норма",Расчёт!Y7,"")</f>
        <v>ОПАСНО: спирал. изгиб</v>
      </c>
      <c r="F22" s="43" t="e">
        <f>IF(Расчёт!Y7&lt;&gt;"Норма",IF(Расчёт!W7&gt;0.5,TEXT(Расчёт!W7,"0.00")&amp;" (изгиб)",IF(Расчёт!AO7&lt;1.05,TEXT(Расчёт!AN7,"0")&amp;" кг/м³ (ECD)",IF(Расчёт!AR7&lt;1.15,TEXT(Расчёт!AR7,"0.00")&amp;" (SF_смятие)",IF(Расчёт!AS7&lt;1.1,TEXT(Расчёт!AS7,"0.00")&amp;" (SF_разрыв)",IF(Расчёт!AQ7&lt;1.25,TEXT(Расчёт!AQ7,"0.00")&amp;" (SF_прочн)",TEXT(Расчёт!S7,"0")&amp;" т (нагр)"))))),"")</f>
        <v>#VALUE!</v>
      </c>
    </row>
    <row r="23" spans="2:6" ht="19" customHeight="1">
      <c r="B23" s="43">
        <f>IF(Расчёт!Y8&lt;&gt;"Норма",Расчёт!B8,"")</f>
        <v>4</v>
      </c>
      <c r="C23" s="43" t="str">
        <f>IF(Расчёт!Y8&lt;&gt;"Норма",Расчёт!C8&amp;" - "&amp;Расчёт!D8,"")</f>
        <v>750 - 900</v>
      </c>
      <c r="D23" s="43" t="str">
        <f>IF(Расчёт!Y8&lt;&gt;"Норма",IF(Расчёт!I8="обс.","Обсаженный","Открытый"),"")</f>
        <v>Обсаженный</v>
      </c>
      <c r="E23" s="43" t="str">
        <f>IF(Расчёт!Y8&lt;&gt;"Норма",Расчёт!Y8,"")</f>
        <v>ОПАСНО: спирал. изгиб</v>
      </c>
      <c r="F23" s="43" t="e">
        <f>IF(Расчёт!Y8&lt;&gt;"Норма",IF(Расчёт!W8&gt;0.5,TEXT(Расчёт!W8,"0.00")&amp;" (изгиб)",IF(Расчёт!AO8&lt;1.05,TEXT(Расчёт!AN8,"0")&amp;" кг/м³ (ECD)",IF(Расчёт!AR8&lt;1.15,TEXT(Расчёт!AR8,"0.00")&amp;" (SF_смятие)",IF(Расчёт!AS8&lt;1.1,TEXT(Расчёт!AS8,"0.00")&amp;" (SF_разрыв)",IF(Расчёт!AQ8&lt;1.25,TEXT(Расчёт!AQ8,"0.00")&amp;" (SF_прочн)",TEXT(Расчёт!S8,"0")&amp;" т (нагр)"))))),"")</f>
        <v>#VALUE!</v>
      </c>
    </row>
    <row r="24" spans="2:6" ht="19" customHeight="1">
      <c r="B24" s="43">
        <f>IF(Расчёт!Y9&lt;&gt;"Норма",Расчёт!B9,"")</f>
        <v>5</v>
      </c>
      <c r="C24" s="43" t="str">
        <f>IF(Расчёт!Y9&lt;&gt;"Норма",Расчёт!C9&amp;" - "&amp;Расчёт!D9,"")</f>
        <v>900 - 1050</v>
      </c>
      <c r="D24" s="43" t="str">
        <f>IF(Расчёт!Y9&lt;&gt;"Норма",IF(Расчёт!I9="обс.","Обсаженный","Открытый"),"")</f>
        <v>Обсаженный</v>
      </c>
      <c r="E24" s="43" t="str">
        <f>IF(Расчёт!Y9&lt;&gt;"Норма",Расчёт!Y9,"")</f>
        <v>Внимание: синус. изгиб</v>
      </c>
      <c r="F24" s="43" t="e">
        <f>IF(Расчёт!Y9&lt;&gt;"Норма",IF(Расчёт!W9&gt;0.5,TEXT(Расчёт!W9,"0.00")&amp;" (изгиб)",IF(Расчёт!AO9&lt;1.05,TEXT(Расчёт!AN9,"0")&amp;" кг/м³ (ECD)",IF(Расчёт!AR9&lt;1.15,TEXT(Расчёт!AR9,"0.00")&amp;" (SF_смятие)",IF(Расчёт!AS9&lt;1.1,TEXT(Расчёт!AS9,"0.00")&amp;" (SF_разрыв)",IF(Расчёт!AQ9&lt;1.25,TEXT(Расчёт!AQ9,"0.00")&amp;" (SF_прочн)",TEXT(Расчёт!S9,"0")&amp;" т (нагр)"))))),"")</f>
        <v>#VALUE!</v>
      </c>
    </row>
    <row r="25" spans="2:6" ht="19" customHeight="1">
      <c r="B25" s="43">
        <f>IF(Расчёт!Y10&lt;&gt;"Норма",Расчёт!B10,"")</f>
        <v>6</v>
      </c>
      <c r="C25" s="43" t="str">
        <f>IF(Расчёт!Y10&lt;&gt;"Норма",Расчёт!C10&amp;" - "&amp;Расчёт!D10,"")</f>
        <v>1050 - 1500</v>
      </c>
      <c r="D25" s="43" t="str">
        <f>IF(Расчёт!Y10&lt;&gt;"Норма",IF(Расчёт!I10="обс.","Обсаженный","Открытый"),"")</f>
        <v>Обсаженный</v>
      </c>
      <c r="E25" s="43" t="str">
        <f>IF(Расчёт!Y10&lt;&gt;"Норма",Расчёт!Y10,"")</f>
        <v>Внимание: синус. изгиб</v>
      </c>
      <c r="F25" s="43" t="e">
        <f>IF(Расчёт!Y10&lt;&gt;"Норма",IF(Расчёт!W10&gt;0.5,TEXT(Расчёт!W10,"0.00")&amp;" (изгиб)",IF(Расчёт!AO10&lt;1.05,TEXT(Расчёт!AN10,"0")&amp;" кг/м³ (ECD)",IF(Расчёт!AR10&lt;1.15,TEXT(Расчёт!AR10,"0.00")&amp;" (SF_смятие)",IF(Расчёт!AS10&lt;1.1,TEXT(Расчёт!AS10,"0.00")&amp;" (SF_разрыв)",IF(Расчёт!AQ10&lt;1.25,TEXT(Расчёт!AQ10,"0.00")&amp;" (SF_прочн)",TEXT(Расчёт!S10,"0")&amp;" т (нагр)"))))),"")</f>
        <v>#VALUE!</v>
      </c>
    </row>
    <row r="26" spans="2:6" ht="19" customHeight="1">
      <c r="B26" s="43">
        <f>IF(Расчёт!Y11&lt;&gt;"Норма",Расчёт!B11,"")</f>
        <v>7</v>
      </c>
      <c r="C26" s="43" t="str">
        <f>IF(Расчёт!Y11&lt;&gt;"Норма",Расчёт!C11&amp;" - "&amp;Расчёт!D11,"")</f>
        <v>1500 - 2000</v>
      </c>
      <c r="D26" s="43" t="str">
        <f>IF(Расчёт!Y11&lt;&gt;"Норма",IF(Расчёт!I11="обс.","Обсаженный","Открытый"),"")</f>
        <v>Обсаженный</v>
      </c>
      <c r="E26" s="43" t="str">
        <f>IF(Расчёт!Y11&lt;&gt;"Норма",Расчёт!Y11,"")</f>
        <v>Внимание: синус. изгиб</v>
      </c>
      <c r="F26" s="43" t="e">
        <f>IF(Расчёт!Y11&lt;&gt;"Норма",IF(Расчёт!W11&gt;0.5,TEXT(Расчёт!W11,"0.00")&amp;" (изгиб)",IF(Расчёт!AO11&lt;1.05,TEXT(Расчёт!AN11,"0")&amp;" кг/м³ (ECD)",IF(Расчёт!AR11&lt;1.15,TEXT(Расчёт!AR11,"0.00")&amp;" (SF_смятие)",IF(Расчёт!AS11&lt;1.1,TEXT(Расчёт!AS11,"0.00")&amp;" (SF_разрыв)",IF(Расчёт!AQ11&lt;1.25,TEXT(Расчёт!AQ11,"0.00")&amp;" (SF_прочн)",TEXT(Расчёт!S11,"0")&amp;" т (нагр)"))))),"")</f>
        <v>#VALUE!</v>
      </c>
    </row>
    <row r="27" spans="2:6" ht="19" customHeight="1">
      <c r="B27" s="43">
        <f>IF(Расчёт!Y12&lt;&gt;"Норма",Расчёт!B12,"")</f>
        <v>8</v>
      </c>
      <c r="C27" s="43" t="str">
        <f>IF(Расчёт!Y12&lt;&gt;"Норма",Расчёт!C12&amp;" - "&amp;Расчёт!D12,"")</f>
        <v>2000 - 2500</v>
      </c>
      <c r="D27" s="43" t="str">
        <f>IF(Расчёт!Y12&lt;&gt;"Норма",IF(Расчёт!I12="обс.","Обсаженный","Открытый"),"")</f>
        <v>Открытый</v>
      </c>
      <c r="E27" s="43" t="str">
        <f>IF(Расчёт!Y12&lt;&gt;"Норма",Расчёт!Y12,"")</f>
        <v>Внимание: синус. изгиб</v>
      </c>
      <c r="F27" s="43" t="e">
        <f>IF(Расчёт!Y12&lt;&gt;"Норма",IF(Расчёт!W12&gt;0.5,TEXT(Расчёт!W12,"0.00")&amp;" (изгиб)",IF(Расчёт!AO12&lt;1.05,TEXT(Расчёт!AN12,"0")&amp;" кг/м³ (ECD)",IF(Расчёт!AR12&lt;1.15,TEXT(Расчёт!AR12,"0.00")&amp;" (SF_смятие)",IF(Расчёт!AS12&lt;1.1,TEXT(Расчёт!AS12,"0.00")&amp;" (SF_разрыв)",IF(Расчёт!AQ12&lt;1.25,TEXT(Расчёт!AQ12,"0.00")&amp;" (SF_прочн)",TEXT(Расчёт!S12,"0")&amp;" т (нагр)"))))),"")</f>
        <v>#VALUE!</v>
      </c>
    </row>
    <row r="28" spans="2:6" ht="19" customHeight="1">
      <c r="B28" s="43">
        <f>IF(Расчёт!Y13&lt;&gt;"Норма",Расчёт!B13,"")</f>
        <v>9</v>
      </c>
      <c r="C28" s="43" t="str">
        <f>IF(Расчёт!Y13&lt;&gt;"Норма",Расчёт!C13&amp;" - "&amp;Расчёт!D13,"")</f>
        <v>2500 - 3000</v>
      </c>
      <c r="D28" s="43" t="str">
        <f>IF(Расчёт!Y13&lt;&gt;"Норма",IF(Расчёт!I13="обс.","Обсаженный","Открытый"),"")</f>
        <v>Открытый</v>
      </c>
      <c r="E28" s="43" t="str">
        <f>IF(Расчёт!Y13&lt;&gt;"Норма",Расчёт!Y13,"")</f>
        <v>ОПАСНО: спирал. изгиб</v>
      </c>
      <c r="F28" s="43" t="e">
        <f>IF(Расчёт!Y13&lt;&gt;"Норма",IF(Расчёт!W13&gt;0.5,TEXT(Расчёт!W13,"0.00")&amp;" (изгиб)",IF(Расчёт!AO13&lt;1.05,TEXT(Расчёт!AN13,"0")&amp;" кг/м³ (ECD)",IF(Расчёт!AR13&lt;1.15,TEXT(Расчёт!AR13,"0.00")&amp;" (SF_смятие)",IF(Расчёт!AS13&lt;1.1,TEXT(Расчёт!AS13,"0.00")&amp;" (SF_разрыв)",IF(Расчёт!AQ13&lt;1.25,TEXT(Расчёт!AQ13,"0.00")&amp;" (SF_прочн)",TEXT(Расчёт!S13,"0")&amp;" т (нагр)"))))),"")</f>
        <v>#VALUE!</v>
      </c>
    </row>
    <row r="29" spans="2:6" ht="19" customHeight="1">
      <c r="B29" s="43">
        <f>IF(Расчёт!Y14&lt;&gt;"Норма",Расчёт!B14,"")</f>
        <v>10</v>
      </c>
      <c r="C29" s="43" t="str">
        <f>IF(Расчёт!Y14&lt;&gt;"Норма",Расчёт!C14&amp;" - "&amp;Расчёт!D14,"")</f>
        <v>3000 - 3450</v>
      </c>
      <c r="D29" s="43" t="str">
        <f>IF(Расчёт!Y14&lt;&gt;"Норма",IF(Расчёт!I14="обс.","Обсаженный","Открытый"),"")</f>
        <v>Открытый</v>
      </c>
      <c r="E29" s="43" t="str">
        <f>IF(Расчёт!Y14&lt;&gt;"Норма",Расчёт!Y14,"")</f>
        <v>ОПАСНО: спирал. изгиб</v>
      </c>
      <c r="F29" s="43" t="e">
        <f>IF(Расчёт!Y14&lt;&gt;"Норма",IF(Расчёт!W14&gt;0.5,TEXT(Расчёт!W14,"0.00")&amp;" (изгиб)",IF(Расчёт!AO14&lt;1.05,TEXT(Расчёт!AN14,"0")&amp;" кг/м³ (ECD)",IF(Расчёт!AR14&lt;1.15,TEXT(Расчёт!AR14,"0.00")&amp;" (SF_смятие)",IF(Расчёт!AS14&lt;1.1,TEXT(Расчёт!AS14,"0.00")&amp;" (SF_разрыв)",IF(Расчёт!AQ14&lt;1.25,TEXT(Расчёт!AQ14,"0.00")&amp;" (SF_прочн)",TEXT(Расчёт!S14,"0")&amp;" т (нагр)"))))),"")</f>
        <v>#VALUE!</v>
      </c>
    </row>
    <row r="30" spans="2:6" ht="24" customHeight="1">
      <c r="B30" s="47"/>
      <c r="C30" s="47"/>
      <c r="D30" s="47"/>
      <c r="E30" s="47"/>
    </row>
    <row r="31" spans="2:6" ht="24" customHeight="1">
      <c r="B31" s="46" t="s">
        <v>38</v>
      </c>
      <c r="C31" s="47"/>
      <c r="D31" s="47"/>
      <c r="E31" s="47"/>
      <c r="F31" s="47"/>
    </row>
    <row r="32" spans="2:6" ht="26" customHeight="1">
      <c r="B32" s="44" t="s">
        <v>39</v>
      </c>
      <c r="C32" s="48"/>
      <c r="D32" s="48"/>
      <c r="E32" s="48"/>
      <c r="F32" s="45"/>
    </row>
    <row r="33" spans="2:6" ht="26" customHeight="1">
      <c r="B33" s="44" t="s">
        <v>40</v>
      </c>
      <c r="C33" s="48"/>
      <c r="D33" s="48"/>
      <c r="E33" s="48"/>
      <c r="F33" s="45"/>
    </row>
    <row r="34" spans="2:6" ht="26" customHeight="1">
      <c r="B34" s="53" t="s">
        <v>41</v>
      </c>
      <c r="C34" s="48"/>
      <c r="D34" s="48"/>
      <c r="E34" s="48"/>
      <c r="F34" s="48"/>
    </row>
    <row r="35" spans="2:6" ht="26" customHeight="1">
      <c r="B35" s="44" t="s">
        <v>42</v>
      </c>
      <c r="C35" s="48"/>
      <c r="D35" s="48"/>
      <c r="E35" s="48"/>
      <c r="F35" s="45"/>
    </row>
    <row r="36" spans="2:6" ht="26" customHeight="1">
      <c r="B36" s="44" t="s">
        <v>43</v>
      </c>
      <c r="C36" s="48"/>
      <c r="D36" s="48"/>
      <c r="E36" s="48"/>
      <c r="F36" s="45"/>
    </row>
    <row r="37" spans="2:6" ht="26" customHeight="1">
      <c r="B37" s="44" t="s">
        <v>44</v>
      </c>
      <c r="C37" s="48"/>
      <c r="D37" s="48"/>
      <c r="E37" s="48"/>
      <c r="F37" s="45"/>
    </row>
    <row r="38" spans="2:6" ht="21.75" customHeight="1">
      <c r="C38" s="47"/>
      <c r="D38" s="47"/>
      <c r="E38" s="47"/>
    </row>
    <row r="39" spans="2:6" ht="21.75" customHeight="1">
      <c r="C39" s="47"/>
      <c r="D39" s="47"/>
      <c r="E39" s="47"/>
    </row>
    <row r="40" spans="2:6" ht="21.75" customHeight="1">
      <c r="C40" s="47"/>
      <c r="D40" s="47"/>
      <c r="E40" s="47"/>
    </row>
    <row r="41" spans="2:6" ht="21.75" customHeight="1">
      <c r="C41" s="47"/>
      <c r="D41" s="47"/>
      <c r="E41" s="47"/>
    </row>
    <row r="42" spans="2:6" ht="21.75" customHeight="1">
      <c r="C42" s="47"/>
      <c r="D42" s="47"/>
      <c r="E42" s="47"/>
    </row>
    <row r="43" spans="2:6" ht="21.75" customHeight="1">
      <c r="C43" s="47"/>
      <c r="D43" s="47"/>
      <c r="E43" s="47"/>
    </row>
    <row r="44" spans="2:6" ht="21.75" customHeight="1">
      <c r="C44" s="47"/>
      <c r="D44" s="47"/>
      <c r="E44" s="47"/>
    </row>
    <row r="45" spans="2:6" ht="21.75" customHeight="1">
      <c r="C45" s="47"/>
      <c r="D45" s="47"/>
      <c r="E45" s="47"/>
    </row>
    <row r="48" spans="2:6" ht="24" customHeight="1">
      <c r="B48" s="47"/>
      <c r="C48" s="47"/>
      <c r="D48" s="47"/>
      <c r="E48" s="47"/>
    </row>
    <row r="49" spans="2:5" ht="31.5" customHeight="1">
      <c r="B49" s="47"/>
      <c r="C49" s="47"/>
      <c r="D49" s="47"/>
      <c r="E49" s="47"/>
    </row>
    <row r="50" spans="2:5" ht="31.5" customHeight="1">
      <c r="B50" s="47"/>
      <c r="C50" s="47"/>
      <c r="D50" s="47"/>
      <c r="E50" s="47"/>
    </row>
    <row r="51" spans="2:5" ht="31.5" customHeight="1">
      <c r="B51" s="47"/>
      <c r="C51" s="47"/>
      <c r="D51" s="47"/>
      <c r="E51" s="47"/>
    </row>
    <row r="52" spans="2:5" ht="31.5" customHeight="1">
      <c r="B52" s="47"/>
      <c r="C52" s="47"/>
      <c r="D52" s="47"/>
      <c r="E52" s="47"/>
    </row>
    <row r="53" spans="2:5" ht="31.5" customHeight="1">
      <c r="B53" s="47"/>
      <c r="C53" s="47"/>
      <c r="D53" s="47"/>
      <c r="E53" s="47"/>
    </row>
    <row r="54" spans="2:5" ht="31.5" customHeight="1">
      <c r="B54" s="47"/>
      <c r="C54" s="47"/>
      <c r="D54" s="47"/>
      <c r="E54" s="47"/>
    </row>
    <row r="55" spans="2:5" ht="31.5" customHeight="1">
      <c r="B55" s="47"/>
      <c r="C55" s="47"/>
      <c r="D55" s="47"/>
      <c r="E55" s="47"/>
    </row>
    <row r="56" spans="2:5" ht="31.5" customHeight="1">
      <c r="B56" s="47"/>
      <c r="C56" s="47"/>
      <c r="D56" s="47"/>
      <c r="E56" s="47"/>
    </row>
    <row r="57" spans="2:5" ht="31.5" customHeight="1">
      <c r="B57" s="47"/>
      <c r="C57" s="47"/>
      <c r="D57" s="47"/>
      <c r="E57" s="47"/>
    </row>
    <row r="58" spans="2:5" ht="31.5" customHeight="1">
      <c r="B58" s="47"/>
      <c r="C58" s="47"/>
      <c r="D58" s="47"/>
      <c r="E58" s="47"/>
    </row>
  </sheetData>
  <mergeCells count="31">
    <mergeCell ref="B56:E56"/>
    <mergeCell ref="C37:E37"/>
    <mergeCell ref="B34:F34"/>
    <mergeCell ref="B58:E58"/>
    <mergeCell ref="B52:E52"/>
    <mergeCell ref="B48:E48"/>
    <mergeCell ref="C42:E42"/>
    <mergeCell ref="B57:E57"/>
    <mergeCell ref="B53:E53"/>
    <mergeCell ref="C45:E45"/>
    <mergeCell ref="C35:E35"/>
    <mergeCell ref="B2:F2"/>
    <mergeCell ref="C39:E39"/>
    <mergeCell ref="B54:E54"/>
    <mergeCell ref="B16:E16"/>
    <mergeCell ref="C32:E32"/>
    <mergeCell ref="C38:E38"/>
    <mergeCell ref="C33:E33"/>
    <mergeCell ref="B55:E55"/>
    <mergeCell ref="B31:F31"/>
    <mergeCell ref="B51:E51"/>
    <mergeCell ref="C43:E43"/>
    <mergeCell ref="B18:F18"/>
    <mergeCell ref="C36:E36"/>
    <mergeCell ref="B50:E50"/>
    <mergeCell ref="B4:F4"/>
    <mergeCell ref="C44:E44"/>
    <mergeCell ref="C41:E41"/>
    <mergeCell ref="B49:E49"/>
    <mergeCell ref="B30:E30"/>
    <mergeCell ref="C40:E40"/>
  </mergeCells>
  <conditionalFormatting sqref="E20:E29">
    <cfRule type="expression" dxfId="5" priority="4" stopIfTrue="1">
      <formula>OR(NOT(ISERR(SEARCH("АВАРИЙНО",E20))), NOT(ISERR(SEARCH("КРИТИЧЕСКИЙ",E20))), NOT(ISERR(SEARCH("ОПАСНО",E20))))</formula>
    </cfRule>
    <cfRule type="expression" dxfId="4" priority="5" stopIfTrue="1">
      <formula>OR(NOT(ISERR(SEARCH("Внимание",E20))), NOT(ISERR(SEARCH("Разгрузка",E20))))</formula>
    </cfRule>
    <cfRule type="expression" dxfId="3" priority="6" stopIfTrue="1">
      <formula>OR(NOT(ISERR(SEARCH("В норме",E20))), NOT(ISERR(SEARCH("Норма",E20))))</formula>
    </cfRule>
  </conditionalFormatting>
  <conditionalFormatting sqref="F6:F16">
    <cfRule type="expression" dxfId="2" priority="1" stopIfTrue="1">
      <formula>OR(NOT(ISERR(SEARCH("АВАРИЙНО",F6))), NOT(ISERR(SEARCH("КРИТИЧЕСКИЙ",F6))), NOT(ISERR(SEARCH("ОПАСНО",F6))))</formula>
    </cfRule>
    <cfRule type="expression" dxfId="1" priority="2" stopIfTrue="1">
      <formula>OR(NOT(ISERR(SEARCH("Внимание",F6))), NOT(ISERR(SEARCH("Разгрузка",F6))))</formula>
    </cfRule>
    <cfRule type="expression" dxfId="0" priority="3" stopIfTrue="1">
      <formula>NOT(ISERR(SEARCH("В норме",F6)))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Входные данные</vt:lpstr>
      <vt:lpstr>Профиль ствола</vt:lpstr>
      <vt:lpstr>Расчёт</vt:lpstr>
      <vt:lpstr>Графики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Калькулятор спуска обсадных колонн</dc:title>
  <dc:creator>Z.ai</dc:creator>
  <cp:lastModifiedBy>Completion Specialist</cp:lastModifiedBy>
  <cp:revision>2</cp:revision>
  <dcterms:created xsi:type="dcterms:W3CDTF">2026-07-01T07:41:05Z</dcterms:created>
  <dcterms:modified xsi:type="dcterms:W3CDTF">2026-07-01T14:12:57Z</dcterms:modified>
  <dc:language>en-US</dc:language>
</cp:coreProperties>
</file>